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rreoipn-my.sharepoint.com/personal/aguevarab1900_alumno_ipn_mx/Documents/Documents/Escuela/Procesamiento Digital de Señales/Examenes/3erExamen/"/>
    </mc:Choice>
  </mc:AlternateContent>
  <xr:revisionPtr revIDLastSave="25" documentId="13_ncr:1_{F250938D-7964-4AD4-BF77-74AABA84AC3A}" xr6:coauthVersionLast="47" xr6:coauthVersionMax="47" xr10:uidLastSave="{6C2DAECC-F7ED-4164-8849-6EB5561D091D}"/>
  <bookViews>
    <workbookView xWindow="-108" yWindow="-108" windowWidth="23256" windowHeight="12456" activeTab="1" xr2:uid="{1F656292-3727-49BA-85B8-AC1AD2EF43EA}"/>
  </bookViews>
  <sheets>
    <sheet name="Hoja1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43" i="2" l="1"/>
  <c r="M142" i="2"/>
  <c r="M141" i="2"/>
  <c r="M140" i="2"/>
  <c r="M139" i="2"/>
  <c r="M138" i="2"/>
  <c r="M137" i="2"/>
  <c r="M136" i="2"/>
  <c r="M135" i="2"/>
  <c r="M134" i="2"/>
  <c r="M133" i="2"/>
  <c r="M132" i="2"/>
  <c r="M131" i="2"/>
  <c r="M130" i="2"/>
  <c r="M129" i="2"/>
  <c r="M128" i="2"/>
  <c r="M125" i="2"/>
  <c r="M124" i="2"/>
  <c r="M123" i="2"/>
  <c r="M122" i="2"/>
  <c r="M121" i="2"/>
  <c r="M120" i="2"/>
  <c r="M119" i="2"/>
  <c r="M118" i="2"/>
  <c r="M117" i="2"/>
  <c r="M116" i="2"/>
  <c r="M115" i="2"/>
  <c r="M114" i="2"/>
  <c r="M113" i="2"/>
  <c r="M112" i="2"/>
  <c r="M111" i="2"/>
  <c r="M110" i="2"/>
  <c r="M107" i="2"/>
  <c r="M106" i="2"/>
  <c r="M105" i="2"/>
  <c r="M104" i="2"/>
  <c r="M103" i="2"/>
  <c r="M102" i="2"/>
  <c r="M101" i="2"/>
  <c r="M100" i="2"/>
  <c r="M99" i="2"/>
  <c r="M98" i="2"/>
  <c r="M97" i="2"/>
  <c r="M96" i="2"/>
  <c r="M95" i="2"/>
  <c r="M94" i="2"/>
  <c r="M93" i="2"/>
  <c r="M92" i="2"/>
  <c r="M89" i="2"/>
  <c r="M88" i="2"/>
  <c r="M87" i="2"/>
  <c r="M86" i="2"/>
  <c r="M85" i="2"/>
  <c r="M84" i="2"/>
  <c r="M83" i="2"/>
  <c r="M82" i="2"/>
  <c r="M81" i="2"/>
  <c r="M80" i="2"/>
  <c r="M79" i="2"/>
  <c r="M78" i="2"/>
  <c r="M77" i="2"/>
  <c r="M76" i="2"/>
  <c r="M75" i="2"/>
  <c r="M74" i="2"/>
  <c r="M71" i="2"/>
  <c r="M70" i="2"/>
  <c r="M69" i="2"/>
  <c r="M68" i="2"/>
  <c r="M67" i="2"/>
  <c r="M66" i="2"/>
  <c r="M65" i="2"/>
  <c r="M64" i="2"/>
  <c r="M63" i="2"/>
  <c r="M62" i="2"/>
  <c r="M61" i="2"/>
  <c r="M60" i="2"/>
  <c r="M59" i="2"/>
  <c r="M58" i="2"/>
  <c r="M57" i="2"/>
  <c r="M56" i="2"/>
  <c r="M53" i="2"/>
  <c r="M52" i="2"/>
  <c r="M51" i="2"/>
  <c r="M50" i="2"/>
  <c r="M49" i="2"/>
  <c r="M48" i="2"/>
  <c r="M47" i="2"/>
  <c r="M46" i="2"/>
  <c r="M45" i="2"/>
  <c r="M44" i="2"/>
  <c r="M43" i="2"/>
  <c r="M42" i="2"/>
  <c r="M41" i="2"/>
  <c r="M40" i="2"/>
  <c r="M39" i="2"/>
  <c r="M38" i="2"/>
  <c r="M35" i="2"/>
  <c r="M34" i="2"/>
  <c r="M33" i="2"/>
  <c r="M32" i="2"/>
  <c r="M31" i="2"/>
  <c r="M30" i="2"/>
  <c r="M29" i="2"/>
  <c r="M28" i="2"/>
  <c r="M27" i="2"/>
  <c r="M26" i="2"/>
  <c r="M25" i="2"/>
  <c r="M24" i="2"/>
  <c r="M23" i="2"/>
  <c r="M22" i="2"/>
  <c r="M21" i="2"/>
  <c r="M20" i="2"/>
  <c r="M17" i="2"/>
  <c r="M16" i="2"/>
  <c r="M15" i="2"/>
  <c r="M14" i="2"/>
  <c r="M13" i="2"/>
  <c r="M12" i="2"/>
  <c r="M11" i="2"/>
  <c r="M10" i="2"/>
  <c r="M9" i="2"/>
  <c r="M8" i="2"/>
  <c r="M7" i="2"/>
  <c r="M6" i="2"/>
  <c r="M5" i="2"/>
  <c r="M4" i="2"/>
  <c r="M3" i="2"/>
  <c r="M2" i="2"/>
  <c r="F143" i="2"/>
  <c r="F142" i="2"/>
  <c r="F141" i="2"/>
  <c r="F140" i="2"/>
  <c r="F139" i="2"/>
  <c r="F138" i="2"/>
  <c r="F137" i="2"/>
  <c r="F136" i="2"/>
  <c r="F135" i="2"/>
  <c r="F134" i="2"/>
  <c r="F133" i="2"/>
  <c r="F132" i="2"/>
  <c r="F131" i="2"/>
  <c r="F130" i="2"/>
  <c r="F129" i="2"/>
  <c r="F128" i="2"/>
  <c r="F125" i="2"/>
  <c r="F124" i="2"/>
  <c r="F123" i="2"/>
  <c r="F122" i="2"/>
  <c r="F121" i="2"/>
  <c r="F120" i="2"/>
  <c r="F119" i="2"/>
  <c r="F118" i="2"/>
  <c r="F117" i="2"/>
  <c r="F116" i="2"/>
  <c r="F115" i="2"/>
  <c r="F114" i="2"/>
  <c r="F113" i="2"/>
  <c r="F112" i="2"/>
  <c r="F111" i="2"/>
  <c r="F110" i="2"/>
  <c r="F107" i="2"/>
  <c r="F106" i="2"/>
  <c r="F105" i="2"/>
  <c r="F104" i="2"/>
  <c r="F103" i="2"/>
  <c r="F102" i="2"/>
  <c r="F101" i="2"/>
  <c r="F100" i="2"/>
  <c r="F99" i="2"/>
  <c r="F98" i="2"/>
  <c r="F97" i="2"/>
  <c r="F96" i="2"/>
  <c r="F95" i="2"/>
  <c r="F94" i="2"/>
  <c r="F93" i="2"/>
  <c r="F92" i="2"/>
  <c r="F89" i="2"/>
  <c r="F88" i="2"/>
  <c r="F87" i="2"/>
  <c r="F86" i="2"/>
  <c r="F85" i="2"/>
  <c r="F84" i="2"/>
  <c r="F83" i="2"/>
  <c r="F82" i="2"/>
  <c r="F81" i="2"/>
  <c r="F80" i="2"/>
  <c r="F79" i="2"/>
  <c r="F78" i="2"/>
  <c r="F77" i="2"/>
  <c r="F76" i="2"/>
  <c r="F75" i="2"/>
  <c r="F74" i="2"/>
  <c r="F71" i="2"/>
  <c r="F70" i="2"/>
  <c r="F69" i="2"/>
  <c r="F68" i="2"/>
  <c r="F67" i="2"/>
  <c r="F66" i="2"/>
  <c r="F65" i="2"/>
  <c r="F64" i="2"/>
  <c r="F63" i="2"/>
  <c r="F62" i="2"/>
  <c r="F61" i="2"/>
  <c r="F60" i="2"/>
  <c r="F59" i="2"/>
  <c r="F58" i="2"/>
  <c r="F57" i="2"/>
  <c r="F56" i="2"/>
  <c r="F53" i="2"/>
  <c r="F52" i="2"/>
  <c r="F51" i="2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21" i="2"/>
  <c r="F20" i="2"/>
  <c r="F3" i="2"/>
  <c r="F2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J143" i="2"/>
  <c r="L143" i="2" s="1"/>
  <c r="J142" i="2"/>
  <c r="L142" i="2" s="1"/>
  <c r="J141" i="2"/>
  <c r="L141" i="2" s="1"/>
  <c r="J140" i="2"/>
  <c r="L140" i="2" s="1"/>
  <c r="J139" i="2"/>
  <c r="L139" i="2" s="1"/>
  <c r="J138" i="2"/>
  <c r="L138" i="2" s="1"/>
  <c r="J137" i="2"/>
  <c r="L137" i="2" s="1"/>
  <c r="J136" i="2"/>
  <c r="L136" i="2" s="1"/>
  <c r="J135" i="2"/>
  <c r="L135" i="2" s="1"/>
  <c r="J134" i="2"/>
  <c r="L134" i="2" s="1"/>
  <c r="J133" i="2"/>
  <c r="L133" i="2" s="1"/>
  <c r="J132" i="2"/>
  <c r="L132" i="2" s="1"/>
  <c r="J131" i="2"/>
  <c r="L131" i="2" s="1"/>
  <c r="J130" i="2"/>
  <c r="L130" i="2" s="1"/>
  <c r="J129" i="2"/>
  <c r="L129" i="2" s="1"/>
  <c r="J128" i="2"/>
  <c r="L128" i="2" s="1"/>
  <c r="J125" i="2"/>
  <c r="L125" i="2" s="1"/>
  <c r="J124" i="2"/>
  <c r="K124" i="2" s="1"/>
  <c r="J123" i="2"/>
  <c r="L123" i="2" s="1"/>
  <c r="J122" i="2"/>
  <c r="L122" i="2" s="1"/>
  <c r="J121" i="2"/>
  <c r="L121" i="2" s="1"/>
  <c r="J120" i="2"/>
  <c r="L120" i="2" s="1"/>
  <c r="J119" i="2"/>
  <c r="L119" i="2" s="1"/>
  <c r="J118" i="2"/>
  <c r="L118" i="2" s="1"/>
  <c r="J117" i="2"/>
  <c r="L117" i="2" s="1"/>
  <c r="J116" i="2"/>
  <c r="L116" i="2" s="1"/>
  <c r="J115" i="2"/>
  <c r="L115" i="2" s="1"/>
  <c r="J114" i="2"/>
  <c r="L114" i="2" s="1"/>
  <c r="J113" i="2"/>
  <c r="L113" i="2" s="1"/>
  <c r="J112" i="2"/>
  <c r="K112" i="2" s="1"/>
  <c r="J111" i="2"/>
  <c r="L111" i="2" s="1"/>
  <c r="J110" i="2"/>
  <c r="L110" i="2" s="1"/>
  <c r="J107" i="2"/>
  <c r="L107" i="2" s="1"/>
  <c r="J106" i="2"/>
  <c r="L106" i="2" s="1"/>
  <c r="J105" i="2"/>
  <c r="L105" i="2" s="1"/>
  <c r="J104" i="2"/>
  <c r="L104" i="2" s="1"/>
  <c r="J103" i="2"/>
  <c r="L103" i="2" s="1"/>
  <c r="J102" i="2"/>
  <c r="L102" i="2" s="1"/>
  <c r="J101" i="2"/>
  <c r="L101" i="2" s="1"/>
  <c r="J100" i="2"/>
  <c r="K100" i="2" s="1"/>
  <c r="J99" i="2"/>
  <c r="L99" i="2" s="1"/>
  <c r="J98" i="2"/>
  <c r="L98" i="2" s="1"/>
  <c r="J97" i="2"/>
  <c r="L97" i="2" s="1"/>
  <c r="J96" i="2"/>
  <c r="L96" i="2" s="1"/>
  <c r="J95" i="2"/>
  <c r="L95" i="2" s="1"/>
  <c r="J94" i="2"/>
  <c r="L94" i="2" s="1"/>
  <c r="J93" i="2"/>
  <c r="L93" i="2" s="1"/>
  <c r="J92" i="2"/>
  <c r="L92" i="2" s="1"/>
  <c r="J89" i="2"/>
  <c r="L89" i="2" s="1"/>
  <c r="J88" i="2"/>
  <c r="K88" i="2" s="1"/>
  <c r="J87" i="2"/>
  <c r="L87" i="2" s="1"/>
  <c r="J86" i="2"/>
  <c r="L86" i="2" s="1"/>
  <c r="J85" i="2"/>
  <c r="L85" i="2" s="1"/>
  <c r="J84" i="2"/>
  <c r="L84" i="2" s="1"/>
  <c r="J83" i="2"/>
  <c r="L83" i="2" s="1"/>
  <c r="J82" i="2"/>
  <c r="L82" i="2" s="1"/>
  <c r="J81" i="2"/>
  <c r="L81" i="2" s="1"/>
  <c r="J80" i="2"/>
  <c r="K80" i="2" s="1"/>
  <c r="J79" i="2"/>
  <c r="L79" i="2" s="1"/>
  <c r="J78" i="2"/>
  <c r="L78" i="2" s="1"/>
  <c r="J77" i="2"/>
  <c r="L77" i="2" s="1"/>
  <c r="J76" i="2"/>
  <c r="L76" i="2" s="1"/>
  <c r="J75" i="2"/>
  <c r="L75" i="2" s="1"/>
  <c r="J74" i="2"/>
  <c r="L74" i="2" s="1"/>
  <c r="J71" i="2"/>
  <c r="K71" i="2" s="1"/>
  <c r="L70" i="2"/>
  <c r="J70" i="2"/>
  <c r="K70" i="2" s="1"/>
  <c r="J69" i="2"/>
  <c r="L69" i="2" s="1"/>
  <c r="J68" i="2"/>
  <c r="L68" i="2" s="1"/>
  <c r="J67" i="2"/>
  <c r="K67" i="2" s="1"/>
  <c r="J66" i="2"/>
  <c r="K66" i="2" s="1"/>
  <c r="J65" i="2"/>
  <c r="L65" i="2" s="1"/>
  <c r="J64" i="2"/>
  <c r="L64" i="2" s="1"/>
  <c r="J63" i="2"/>
  <c r="K63" i="2" s="1"/>
  <c r="J62" i="2"/>
  <c r="K62" i="2" s="1"/>
  <c r="J61" i="2"/>
  <c r="L61" i="2" s="1"/>
  <c r="J60" i="2"/>
  <c r="L60" i="2" s="1"/>
  <c r="J59" i="2"/>
  <c r="L59" i="2" s="1"/>
  <c r="J58" i="2"/>
  <c r="L58" i="2" s="1"/>
  <c r="J57" i="2"/>
  <c r="L57" i="2" s="1"/>
  <c r="J56" i="2"/>
  <c r="L56" i="2" s="1"/>
  <c r="J53" i="2"/>
  <c r="L53" i="2" s="1"/>
  <c r="J52" i="2"/>
  <c r="L52" i="2" s="1"/>
  <c r="J51" i="2"/>
  <c r="L51" i="2" s="1"/>
  <c r="J50" i="2"/>
  <c r="L50" i="2" s="1"/>
  <c r="J49" i="2"/>
  <c r="L49" i="2" s="1"/>
  <c r="J48" i="2"/>
  <c r="L48" i="2" s="1"/>
  <c r="J47" i="2"/>
  <c r="L47" i="2" s="1"/>
  <c r="J46" i="2"/>
  <c r="L46" i="2" s="1"/>
  <c r="J45" i="2"/>
  <c r="L45" i="2" s="1"/>
  <c r="J44" i="2"/>
  <c r="L44" i="2" s="1"/>
  <c r="J43" i="2"/>
  <c r="L43" i="2" s="1"/>
  <c r="J42" i="2"/>
  <c r="L42" i="2" s="1"/>
  <c r="J41" i="2"/>
  <c r="L41" i="2" s="1"/>
  <c r="J40" i="2"/>
  <c r="L40" i="2" s="1"/>
  <c r="J39" i="2"/>
  <c r="K39" i="2" s="1"/>
  <c r="J38" i="2"/>
  <c r="L38" i="2" s="1"/>
  <c r="J35" i="2"/>
  <c r="L35" i="2" s="1"/>
  <c r="J34" i="2"/>
  <c r="L34" i="2" s="1"/>
  <c r="J33" i="2"/>
  <c r="L33" i="2" s="1"/>
  <c r="J32" i="2"/>
  <c r="L32" i="2" s="1"/>
  <c r="J31" i="2"/>
  <c r="L31" i="2" s="1"/>
  <c r="J30" i="2"/>
  <c r="K30" i="2" s="1"/>
  <c r="J29" i="2"/>
  <c r="L29" i="2" s="1"/>
  <c r="J28" i="2"/>
  <c r="L28" i="2" s="1"/>
  <c r="J27" i="2"/>
  <c r="L27" i="2" s="1"/>
  <c r="J26" i="2"/>
  <c r="L26" i="2" s="1"/>
  <c r="J25" i="2"/>
  <c r="L25" i="2" s="1"/>
  <c r="J24" i="2"/>
  <c r="L24" i="2" s="1"/>
  <c r="J23" i="2"/>
  <c r="L23" i="2" s="1"/>
  <c r="J22" i="2"/>
  <c r="K22" i="2" s="1"/>
  <c r="J21" i="2"/>
  <c r="L21" i="2" s="1"/>
  <c r="J20" i="2"/>
  <c r="L20" i="2" s="1"/>
  <c r="J17" i="2"/>
  <c r="L17" i="2" s="1"/>
  <c r="J16" i="2"/>
  <c r="L16" i="2" s="1"/>
  <c r="J15" i="2"/>
  <c r="L15" i="2" s="1"/>
  <c r="J14" i="2"/>
  <c r="K14" i="2" s="1"/>
  <c r="J13" i="2"/>
  <c r="L13" i="2" s="1"/>
  <c r="J12" i="2"/>
  <c r="L12" i="2" s="1"/>
  <c r="J11" i="2"/>
  <c r="L11" i="2" s="1"/>
  <c r="J10" i="2"/>
  <c r="L10" i="2" s="1"/>
  <c r="J9" i="2"/>
  <c r="L9" i="2" s="1"/>
  <c r="J8" i="2"/>
  <c r="L8" i="2" s="1"/>
  <c r="J7" i="2"/>
  <c r="L7" i="2" s="1"/>
  <c r="J6" i="2"/>
  <c r="K6" i="2" s="1"/>
  <c r="J5" i="2"/>
  <c r="L5" i="2" s="1"/>
  <c r="J4" i="2"/>
  <c r="L4" i="2" s="1"/>
  <c r="J3" i="2"/>
  <c r="L3" i="2" s="1"/>
  <c r="J2" i="2"/>
  <c r="K2" i="2" s="1"/>
  <c r="C143" i="2"/>
  <c r="D143" i="2" s="1"/>
  <c r="C142" i="2"/>
  <c r="E142" i="2" s="1"/>
  <c r="C141" i="2"/>
  <c r="E141" i="2" s="1"/>
  <c r="C140" i="2"/>
  <c r="E140" i="2" s="1"/>
  <c r="C139" i="2"/>
  <c r="D139" i="2" s="1"/>
  <c r="C138" i="2"/>
  <c r="E138" i="2" s="1"/>
  <c r="C137" i="2"/>
  <c r="E137" i="2" s="1"/>
  <c r="C136" i="2"/>
  <c r="D136" i="2" s="1"/>
  <c r="C135" i="2"/>
  <c r="D135" i="2" s="1"/>
  <c r="C134" i="2"/>
  <c r="E134" i="2" s="1"/>
  <c r="C133" i="2"/>
  <c r="E133" i="2" s="1"/>
  <c r="C132" i="2"/>
  <c r="E132" i="2" s="1"/>
  <c r="C131" i="2"/>
  <c r="D131" i="2" s="1"/>
  <c r="C130" i="2"/>
  <c r="E130" i="2" s="1"/>
  <c r="C129" i="2"/>
  <c r="E129" i="2" s="1"/>
  <c r="C128" i="2"/>
  <c r="D128" i="2" s="1"/>
  <c r="C125" i="2"/>
  <c r="E125" i="2" s="1"/>
  <c r="C124" i="2"/>
  <c r="E124" i="2" s="1"/>
  <c r="C123" i="2"/>
  <c r="E123" i="2" s="1"/>
  <c r="C122" i="2"/>
  <c r="E122" i="2" s="1"/>
  <c r="C121" i="2"/>
  <c r="E121" i="2" s="1"/>
  <c r="C120" i="2"/>
  <c r="E120" i="2" s="1"/>
  <c r="C119" i="2"/>
  <c r="E119" i="2" s="1"/>
  <c r="C118" i="2"/>
  <c r="E118" i="2" s="1"/>
  <c r="C117" i="2"/>
  <c r="E117" i="2" s="1"/>
  <c r="C116" i="2"/>
  <c r="E116" i="2" s="1"/>
  <c r="C115" i="2"/>
  <c r="E115" i="2" s="1"/>
  <c r="C114" i="2"/>
  <c r="E114" i="2" s="1"/>
  <c r="C113" i="2"/>
  <c r="E113" i="2" s="1"/>
  <c r="C112" i="2"/>
  <c r="E112" i="2" s="1"/>
  <c r="C111" i="2"/>
  <c r="E111" i="2" s="1"/>
  <c r="C110" i="2"/>
  <c r="E110" i="2" s="1"/>
  <c r="C107" i="2"/>
  <c r="E107" i="2" s="1"/>
  <c r="C106" i="2"/>
  <c r="D106" i="2" s="1"/>
  <c r="C105" i="2"/>
  <c r="E105" i="2" s="1"/>
  <c r="C104" i="2"/>
  <c r="E104" i="2" s="1"/>
  <c r="C103" i="2"/>
  <c r="E103" i="2" s="1"/>
  <c r="C102" i="2"/>
  <c r="E102" i="2" s="1"/>
  <c r="C101" i="2"/>
  <c r="E101" i="2" s="1"/>
  <c r="C100" i="2"/>
  <c r="E100" i="2" s="1"/>
  <c r="C99" i="2"/>
  <c r="E99" i="2" s="1"/>
  <c r="C98" i="2"/>
  <c r="E98" i="2" s="1"/>
  <c r="C97" i="2"/>
  <c r="E97" i="2" s="1"/>
  <c r="C96" i="2"/>
  <c r="E96" i="2" s="1"/>
  <c r="C95" i="2"/>
  <c r="E95" i="2" s="1"/>
  <c r="C94" i="2"/>
  <c r="E94" i="2" s="1"/>
  <c r="C93" i="2"/>
  <c r="E93" i="2" s="1"/>
  <c r="C92" i="2"/>
  <c r="E92" i="2" s="1"/>
  <c r="C89" i="2"/>
  <c r="E89" i="2" s="1"/>
  <c r="C88" i="2"/>
  <c r="E88" i="2" s="1"/>
  <c r="C87" i="2"/>
  <c r="E87" i="2" s="1"/>
  <c r="C86" i="2"/>
  <c r="D86" i="2" s="1"/>
  <c r="C85" i="2"/>
  <c r="E85" i="2" s="1"/>
  <c r="C84" i="2"/>
  <c r="E84" i="2" s="1"/>
  <c r="C83" i="2"/>
  <c r="D83" i="2" s="1"/>
  <c r="C82" i="2"/>
  <c r="D82" i="2" s="1"/>
  <c r="C81" i="2"/>
  <c r="E81" i="2" s="1"/>
  <c r="C80" i="2"/>
  <c r="E80" i="2" s="1"/>
  <c r="C79" i="2"/>
  <c r="E79" i="2" s="1"/>
  <c r="C78" i="2"/>
  <c r="E78" i="2" s="1"/>
  <c r="C77" i="2"/>
  <c r="E77" i="2" s="1"/>
  <c r="C76" i="2"/>
  <c r="E76" i="2" s="1"/>
  <c r="C75" i="2"/>
  <c r="E75" i="2" s="1"/>
  <c r="C74" i="2"/>
  <c r="E74" i="2" s="1"/>
  <c r="C71" i="2"/>
  <c r="E71" i="2" s="1"/>
  <c r="C70" i="2"/>
  <c r="E70" i="2" s="1"/>
  <c r="C69" i="2"/>
  <c r="E69" i="2" s="1"/>
  <c r="C68" i="2"/>
  <c r="E68" i="2" s="1"/>
  <c r="C67" i="2"/>
  <c r="E67" i="2" s="1"/>
  <c r="C66" i="2"/>
  <c r="D66" i="2" s="1"/>
  <c r="C65" i="2"/>
  <c r="E65" i="2" s="1"/>
  <c r="C64" i="2"/>
  <c r="D64" i="2" s="1"/>
  <c r="C63" i="2"/>
  <c r="E63" i="2" s="1"/>
  <c r="C62" i="2"/>
  <c r="E62" i="2" s="1"/>
  <c r="C61" i="2"/>
  <c r="E61" i="2" s="1"/>
  <c r="C60" i="2"/>
  <c r="E60" i="2" s="1"/>
  <c r="C59" i="2"/>
  <c r="E59" i="2" s="1"/>
  <c r="C58" i="2"/>
  <c r="D58" i="2" s="1"/>
  <c r="C57" i="2"/>
  <c r="E57" i="2" s="1"/>
  <c r="C56" i="2"/>
  <c r="E56" i="2" s="1"/>
  <c r="C53" i="2"/>
  <c r="E53" i="2" s="1"/>
  <c r="C52" i="2"/>
  <c r="D52" i="2" s="1"/>
  <c r="C51" i="2"/>
  <c r="E51" i="2" s="1"/>
  <c r="C50" i="2"/>
  <c r="E50" i="2" s="1"/>
  <c r="C49" i="2"/>
  <c r="E49" i="2" s="1"/>
  <c r="C48" i="2"/>
  <c r="E48" i="2" s="1"/>
  <c r="C47" i="2"/>
  <c r="E47" i="2" s="1"/>
  <c r="C46" i="2"/>
  <c r="E46" i="2" s="1"/>
  <c r="C45" i="2"/>
  <c r="E45" i="2" s="1"/>
  <c r="C44" i="2"/>
  <c r="E44" i="2" s="1"/>
  <c r="C43" i="2"/>
  <c r="E43" i="2" s="1"/>
  <c r="C42" i="2"/>
  <c r="E42" i="2" s="1"/>
  <c r="C41" i="2"/>
  <c r="E41" i="2" s="1"/>
  <c r="C40" i="2"/>
  <c r="D40" i="2" s="1"/>
  <c r="C39" i="2"/>
  <c r="E39" i="2" s="1"/>
  <c r="C38" i="2"/>
  <c r="E38" i="2" s="1"/>
  <c r="C35" i="2"/>
  <c r="D35" i="2" s="1"/>
  <c r="C34" i="2"/>
  <c r="E34" i="2" s="1"/>
  <c r="C33" i="2"/>
  <c r="E33" i="2" s="1"/>
  <c r="C32" i="2"/>
  <c r="E32" i="2" s="1"/>
  <c r="C31" i="2"/>
  <c r="E31" i="2" s="1"/>
  <c r="C30" i="2"/>
  <c r="E30" i="2" s="1"/>
  <c r="C29" i="2"/>
  <c r="E29" i="2" s="1"/>
  <c r="C28" i="2"/>
  <c r="E28" i="2" s="1"/>
  <c r="C27" i="2"/>
  <c r="E27" i="2" s="1"/>
  <c r="C26" i="2"/>
  <c r="D26" i="2" s="1"/>
  <c r="C25" i="2"/>
  <c r="E25" i="2" s="1"/>
  <c r="C24" i="2"/>
  <c r="E24" i="2" s="1"/>
  <c r="C23" i="2"/>
  <c r="E23" i="2" s="1"/>
  <c r="C22" i="2"/>
  <c r="E22" i="2" s="1"/>
  <c r="C21" i="2"/>
  <c r="E21" i="2" s="1"/>
  <c r="C20" i="2"/>
  <c r="D20" i="2" s="1"/>
  <c r="C3" i="2"/>
  <c r="E3" i="2" s="1"/>
  <c r="C4" i="2"/>
  <c r="C5" i="2"/>
  <c r="D5" i="2" s="1"/>
  <c r="C6" i="2"/>
  <c r="E6" i="2" s="1"/>
  <c r="C7" i="2"/>
  <c r="C8" i="2"/>
  <c r="D8" i="2" s="1"/>
  <c r="C9" i="2"/>
  <c r="D9" i="2" s="1"/>
  <c r="C10" i="2"/>
  <c r="D10" i="2" s="1"/>
  <c r="C11" i="2"/>
  <c r="D11" i="2" s="1"/>
  <c r="C12" i="2"/>
  <c r="D12" i="2" s="1"/>
  <c r="C13" i="2"/>
  <c r="E13" i="2" s="1"/>
  <c r="C14" i="2"/>
  <c r="E14" i="2" s="1"/>
  <c r="C15" i="2"/>
  <c r="D15" i="2" s="1"/>
  <c r="C16" i="2"/>
  <c r="C17" i="2"/>
  <c r="C2" i="2"/>
  <c r="E2" i="2" s="1"/>
  <c r="E4" i="2"/>
  <c r="E7" i="2"/>
  <c r="E16" i="2"/>
  <c r="D17" i="2"/>
  <c r="E8" i="2"/>
  <c r="E9" i="2"/>
  <c r="D4" i="2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D2" i="1"/>
  <c r="C2" i="1"/>
  <c r="E64" i="2" l="1"/>
  <c r="D130" i="2"/>
  <c r="L62" i="2"/>
  <c r="K106" i="2"/>
  <c r="D47" i="2"/>
  <c r="D138" i="2"/>
  <c r="D80" i="2"/>
  <c r="K43" i="2"/>
  <c r="L63" i="2"/>
  <c r="K97" i="2"/>
  <c r="K58" i="2"/>
  <c r="L67" i="2"/>
  <c r="K94" i="2"/>
  <c r="K51" i="2"/>
  <c r="K138" i="2"/>
  <c r="K128" i="2"/>
  <c r="K132" i="2"/>
  <c r="K136" i="2"/>
  <c r="K140" i="2"/>
  <c r="K130" i="2"/>
  <c r="K134" i="2"/>
  <c r="K129" i="2"/>
  <c r="K133" i="2"/>
  <c r="K137" i="2"/>
  <c r="K141" i="2"/>
  <c r="K142" i="2"/>
  <c r="K143" i="2"/>
  <c r="K131" i="2"/>
  <c r="K135" i="2"/>
  <c r="K139" i="2"/>
  <c r="K116" i="2"/>
  <c r="L112" i="2"/>
  <c r="K110" i="2"/>
  <c r="K114" i="2"/>
  <c r="K118" i="2"/>
  <c r="K122" i="2"/>
  <c r="K120" i="2"/>
  <c r="K111" i="2"/>
  <c r="K115" i="2"/>
  <c r="K119" i="2"/>
  <c r="K123" i="2"/>
  <c r="L124" i="2"/>
  <c r="K113" i="2"/>
  <c r="K117" i="2"/>
  <c r="K121" i="2"/>
  <c r="K125" i="2"/>
  <c r="K101" i="2"/>
  <c r="K95" i="2"/>
  <c r="K107" i="2"/>
  <c r="K102" i="2"/>
  <c r="K98" i="2"/>
  <c r="K93" i="2"/>
  <c r="K105" i="2"/>
  <c r="K103" i="2"/>
  <c r="K99" i="2"/>
  <c r="K92" i="2"/>
  <c r="K96" i="2"/>
  <c r="K104" i="2"/>
  <c r="L100" i="2"/>
  <c r="K84" i="2"/>
  <c r="K74" i="2"/>
  <c r="K78" i="2"/>
  <c r="K82" i="2"/>
  <c r="K86" i="2"/>
  <c r="L88" i="2"/>
  <c r="K76" i="2"/>
  <c r="L80" i="2"/>
  <c r="K75" i="2"/>
  <c r="K79" i="2"/>
  <c r="K83" i="2"/>
  <c r="K87" i="2"/>
  <c r="K77" i="2"/>
  <c r="K81" i="2"/>
  <c r="K85" i="2"/>
  <c r="K89" i="2"/>
  <c r="K59" i="2"/>
  <c r="L66" i="2"/>
  <c r="L71" i="2"/>
  <c r="K56" i="2"/>
  <c r="K60" i="2"/>
  <c r="K64" i="2"/>
  <c r="K68" i="2"/>
  <c r="K57" i="2"/>
  <c r="K61" i="2"/>
  <c r="K65" i="2"/>
  <c r="K69" i="2"/>
  <c r="K47" i="2"/>
  <c r="L39" i="2"/>
  <c r="K38" i="2"/>
  <c r="K42" i="2"/>
  <c r="K46" i="2"/>
  <c r="K50" i="2"/>
  <c r="K40" i="2"/>
  <c r="K44" i="2"/>
  <c r="K48" i="2"/>
  <c r="K52" i="2"/>
  <c r="K41" i="2"/>
  <c r="K45" i="2"/>
  <c r="K49" i="2"/>
  <c r="K53" i="2"/>
  <c r="K34" i="2"/>
  <c r="K20" i="2"/>
  <c r="K24" i="2"/>
  <c r="K28" i="2"/>
  <c r="K32" i="2"/>
  <c r="K26" i="2"/>
  <c r="L30" i="2"/>
  <c r="K21" i="2"/>
  <c r="K25" i="2"/>
  <c r="K29" i="2"/>
  <c r="K33" i="2"/>
  <c r="L22" i="2"/>
  <c r="K23" i="2"/>
  <c r="K27" i="2"/>
  <c r="K31" i="2"/>
  <c r="K35" i="2"/>
  <c r="K3" i="2"/>
  <c r="K11" i="2"/>
  <c r="K7" i="2"/>
  <c r="K15" i="2"/>
  <c r="L14" i="2"/>
  <c r="K10" i="2"/>
  <c r="L2" i="2"/>
  <c r="L6" i="2"/>
  <c r="K4" i="2"/>
  <c r="K8" i="2"/>
  <c r="K12" i="2"/>
  <c r="K16" i="2"/>
  <c r="K5" i="2"/>
  <c r="K9" i="2"/>
  <c r="K13" i="2"/>
  <c r="K17" i="2"/>
  <c r="D142" i="2"/>
  <c r="E131" i="2"/>
  <c r="E139" i="2"/>
  <c r="D134" i="2"/>
  <c r="E135" i="2"/>
  <c r="E143" i="2"/>
  <c r="D132" i="2"/>
  <c r="D140" i="2"/>
  <c r="E128" i="2"/>
  <c r="E136" i="2"/>
  <c r="D129" i="2"/>
  <c r="D133" i="2"/>
  <c r="D137" i="2"/>
  <c r="D141" i="2"/>
  <c r="D110" i="2"/>
  <c r="D114" i="2"/>
  <c r="D118" i="2"/>
  <c r="D122" i="2"/>
  <c r="D111" i="2"/>
  <c r="D115" i="2"/>
  <c r="D119" i="2"/>
  <c r="D123" i="2"/>
  <c r="D112" i="2"/>
  <c r="D116" i="2"/>
  <c r="D120" i="2"/>
  <c r="D124" i="2"/>
  <c r="D113" i="2"/>
  <c r="D117" i="2"/>
  <c r="D121" i="2"/>
  <c r="D125" i="2"/>
  <c r="E106" i="2"/>
  <c r="D107" i="2"/>
  <c r="D95" i="2"/>
  <c r="D99" i="2"/>
  <c r="D103" i="2"/>
  <c r="D92" i="2"/>
  <c r="D96" i="2"/>
  <c r="D100" i="2"/>
  <c r="D104" i="2"/>
  <c r="D93" i="2"/>
  <c r="D97" i="2"/>
  <c r="D101" i="2"/>
  <c r="D105" i="2"/>
  <c r="D94" i="2"/>
  <c r="D98" i="2"/>
  <c r="D102" i="2"/>
  <c r="D76" i="2"/>
  <c r="D84" i="2"/>
  <c r="D88" i="2"/>
  <c r="D87" i="2"/>
  <c r="D74" i="2"/>
  <c r="E82" i="2"/>
  <c r="D78" i="2"/>
  <c r="E86" i="2"/>
  <c r="D75" i="2"/>
  <c r="D79" i="2"/>
  <c r="E83" i="2"/>
  <c r="D77" i="2"/>
  <c r="D81" i="2"/>
  <c r="D85" i="2"/>
  <c r="D89" i="2"/>
  <c r="E58" i="2"/>
  <c r="D56" i="2"/>
  <c r="D60" i="2"/>
  <c r="D68" i="2"/>
  <c r="D62" i="2"/>
  <c r="E66" i="2"/>
  <c r="D70" i="2"/>
  <c r="D57" i="2"/>
  <c r="D61" i="2"/>
  <c r="D65" i="2"/>
  <c r="D69" i="2"/>
  <c r="D59" i="2"/>
  <c r="D63" i="2"/>
  <c r="D67" i="2"/>
  <c r="D71" i="2"/>
  <c r="D39" i="2"/>
  <c r="E40" i="2"/>
  <c r="D51" i="2"/>
  <c r="D43" i="2"/>
  <c r="D38" i="2"/>
  <c r="D42" i="2"/>
  <c r="D46" i="2"/>
  <c r="D50" i="2"/>
  <c r="E52" i="2"/>
  <c r="D44" i="2"/>
  <c r="D48" i="2"/>
  <c r="D41" i="2"/>
  <c r="D45" i="2"/>
  <c r="D49" i="2"/>
  <c r="D53" i="2"/>
  <c r="D21" i="2"/>
  <c r="D24" i="2"/>
  <c r="D27" i="2"/>
  <c r="D30" i="2"/>
  <c r="D33" i="2"/>
  <c r="D22" i="2"/>
  <c r="D25" i="2"/>
  <c r="D28" i="2"/>
  <c r="D31" i="2"/>
  <c r="D34" i="2"/>
  <c r="D23" i="2"/>
  <c r="D29" i="2"/>
  <c r="D32" i="2"/>
  <c r="E20" i="2"/>
  <c r="E26" i="2"/>
  <c r="E35" i="2"/>
  <c r="D3" i="2"/>
  <c r="E11" i="2"/>
  <c r="E10" i="2"/>
  <c r="E15" i="2"/>
  <c r="E12" i="2"/>
  <c r="D2" i="2"/>
  <c r="D14" i="2"/>
  <c r="E17" i="2"/>
  <c r="E5" i="2"/>
  <c r="D7" i="2"/>
  <c r="D6" i="2"/>
  <c r="D16" i="2"/>
  <c r="D13" i="2"/>
</calcChain>
</file>

<file path=xl/sharedStrings.xml><?xml version="1.0" encoding="utf-8"?>
<sst xmlns="http://schemas.openxmlformats.org/spreadsheetml/2006/main" count="100" uniqueCount="40">
  <si>
    <t>k</t>
  </si>
  <si>
    <t>Wk</t>
  </si>
  <si>
    <t>W0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</si>
  <si>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</si>
  <si>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</si>
  <si>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</si>
  <si>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</si>
  <si>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</si>
  <si>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</si>
  <si>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</si>
  <si>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</si>
  <si>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</si>
  <si>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</si>
  <si>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</si>
  <si>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</si>
  <si>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</si>
  <si>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</si>
  <si>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W15</t>
  </si>
  <si>
    <t>Re(Wk)</t>
  </si>
  <si>
    <t>Im(Wk)</t>
  </si>
  <si>
    <t>k=0</t>
  </si>
  <si>
    <t>n</t>
  </si>
  <si>
    <t>arg0</t>
  </si>
  <si>
    <t>ReW(k=0)</t>
  </si>
  <si>
    <t>ImW(k=0)</t>
  </si>
  <si>
    <t>k=1</t>
  </si>
  <si>
    <t>k=2</t>
  </si>
  <si>
    <t>k=3</t>
  </si>
  <si>
    <t>k=4</t>
  </si>
  <si>
    <t>k=5</t>
  </si>
  <si>
    <t>k=6</t>
  </si>
  <si>
    <t>k=7</t>
  </si>
  <si>
    <t>k=9</t>
  </si>
  <si>
    <t>k=8</t>
  </si>
  <si>
    <t>k=10</t>
  </si>
  <si>
    <t>k=11</t>
  </si>
  <si>
    <t>k=12</t>
  </si>
  <si>
    <t>k=13</t>
  </si>
  <si>
    <t>k=14</t>
  </si>
  <si>
    <t>k=15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</si>
</sst>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164" fontId="0" fillId="0" borderId="1" xfId="0" applyNumberFormat="1" applyBorder="1"/>
    <xf numFmtId="1" fontId="0" fillId="0" borderId="1" xfId="0" applyNumberFormat="1" applyBorder="1"/>
    <xf numFmtId="0" fontId="0" fillId="2" borderId="1" xfId="0" applyFill="1" applyBorder="1"/>
    <xf numFmtId="164" fontId="0" fillId="2" borderId="1" xfId="0" applyNumberFormat="1" applyFill="1" applyBorder="1"/>
    <xf numFmtId="1" fontId="0" fillId="2" borderId="1" xfId="0" applyNumberFormat="1" applyFill="1" applyBorder="1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4DF2F-9488-4205-AB3B-B947DE08A3F3}">
  <dimension ref="A1:D17"/>
  <sheetViews>
    <sheetView zoomScale="109" workbookViewId="0">
      <selection activeCell="C11" sqref="C11"/>
    </sheetView>
  </sheetViews>
  <sheetFormatPr baseColWidth="10" defaultColWidth="10.88671875" defaultRowHeight="14.4" x14ac:dyDescent="0.3"/>
  <cols>
    <col min="4" max="4" width="14.44140625" customWidth="1"/>
  </cols>
  <sheetData>
    <row r="1" spans="1:4" x14ac:dyDescent="0.3">
      <c r="A1" s="1" t="s">
        <v>0</v>
      </c>
      <c r="B1" s="1" t="s">
        <v>1</v>
      </c>
      <c r="C1" s="1" t="s">
        <v>18</v>
      </c>
      <c r="D1" s="1" t="s">
        <v>19</v>
      </c>
    </row>
    <row r="2" spans="1:4" x14ac:dyDescent="0.3">
      <c r="A2" s="1">
        <v>0</v>
      </c>
      <c r="B2" s="1" t="s">
        <v>2</v>
      </c>
      <c r="C2" s="4">
        <f>COS(2*PI()*A2/16)</f>
        <v>1</v>
      </c>
      <c r="D2" s="4">
        <f>-SIN(2*PI()*A2/16)</f>
        <v>0</v>
      </c>
    </row>
    <row r="3" spans="1:4" x14ac:dyDescent="0.3">
      <c r="A3" s="1">
        <v>1</v>
      </c>
      <c r="B3" s="1" t="s">
        <v>3</v>
      </c>
      <c r="C3" s="5">
        <f t="shared" ref="C3:C17" si="0">COS(2*PI()*A3/16)</f>
        <v>0.92387953251128674</v>
      </c>
      <c r="D3" s="5">
        <f t="shared" ref="D3:D17" si="1">-SIN(2*PI()*A3/16)</f>
        <v>-0.38268343236508978</v>
      </c>
    </row>
    <row r="4" spans="1:4" x14ac:dyDescent="0.3">
      <c r="A4" s="1">
        <v>2</v>
      </c>
      <c r="B4" s="1" t="s">
        <v>4</v>
      </c>
      <c r="C4" s="5">
        <f t="shared" si="0"/>
        <v>0.70710678118654757</v>
      </c>
      <c r="D4" s="5">
        <f t="shared" si="1"/>
        <v>-0.70710678118654746</v>
      </c>
    </row>
    <row r="5" spans="1:4" x14ac:dyDescent="0.3">
      <c r="A5" s="1">
        <v>3</v>
      </c>
      <c r="B5" s="1" t="s">
        <v>5</v>
      </c>
      <c r="C5" s="5">
        <f t="shared" si="0"/>
        <v>0.38268343236508984</v>
      </c>
      <c r="D5" s="5">
        <f t="shared" si="1"/>
        <v>-0.92387953251128674</v>
      </c>
    </row>
    <row r="6" spans="1:4" x14ac:dyDescent="0.3">
      <c r="A6" s="1">
        <v>4</v>
      </c>
      <c r="B6" s="1" t="s">
        <v>6</v>
      </c>
      <c r="C6" s="6">
        <f t="shared" si="0"/>
        <v>6.1257422745431001E-17</v>
      </c>
      <c r="D6" s="4">
        <f t="shared" si="1"/>
        <v>-1</v>
      </c>
    </row>
    <row r="7" spans="1:4" x14ac:dyDescent="0.3">
      <c r="A7" s="1">
        <v>5</v>
      </c>
      <c r="B7" s="1" t="s">
        <v>7</v>
      </c>
      <c r="C7" s="5">
        <f t="shared" si="0"/>
        <v>-0.38268343236508973</v>
      </c>
      <c r="D7" s="5">
        <f t="shared" si="1"/>
        <v>-0.92387953251128674</v>
      </c>
    </row>
    <row r="8" spans="1:4" x14ac:dyDescent="0.3">
      <c r="A8" s="1">
        <v>6</v>
      </c>
      <c r="B8" s="1" t="s">
        <v>8</v>
      </c>
      <c r="C8" s="5">
        <f t="shared" si="0"/>
        <v>-0.70710678118654746</v>
      </c>
      <c r="D8" s="5">
        <f t="shared" si="1"/>
        <v>-0.70710678118654757</v>
      </c>
    </row>
    <row r="9" spans="1:4" x14ac:dyDescent="0.3">
      <c r="A9" s="1">
        <v>7</v>
      </c>
      <c r="B9" s="1" t="s">
        <v>9</v>
      </c>
      <c r="C9" s="5">
        <f t="shared" si="0"/>
        <v>-0.92387953251128674</v>
      </c>
      <c r="D9" s="5">
        <f t="shared" si="1"/>
        <v>-0.38268343236508989</v>
      </c>
    </row>
    <row r="10" spans="1:4" x14ac:dyDescent="0.3">
      <c r="A10" s="1">
        <v>8</v>
      </c>
      <c r="B10" s="1" t="s">
        <v>10</v>
      </c>
      <c r="C10" s="1">
        <f t="shared" si="0"/>
        <v>-1</v>
      </c>
      <c r="D10" s="3">
        <f t="shared" si="1"/>
        <v>-1.22514845490862E-16</v>
      </c>
    </row>
    <row r="11" spans="1:4" x14ac:dyDescent="0.3">
      <c r="A11" s="1">
        <v>9</v>
      </c>
      <c r="B11" s="1" t="s">
        <v>11</v>
      </c>
      <c r="C11" s="2">
        <f t="shared" si="0"/>
        <v>-0.92387953251128685</v>
      </c>
      <c r="D11" s="2">
        <f t="shared" si="1"/>
        <v>0.38268343236508967</v>
      </c>
    </row>
    <row r="12" spans="1:4" x14ac:dyDescent="0.3">
      <c r="A12" s="1">
        <v>10</v>
      </c>
      <c r="B12" s="1" t="s">
        <v>12</v>
      </c>
      <c r="C12" s="2">
        <f t="shared" si="0"/>
        <v>-0.70710678118654768</v>
      </c>
      <c r="D12" s="2">
        <f t="shared" si="1"/>
        <v>0.70710678118654746</v>
      </c>
    </row>
    <row r="13" spans="1:4" x14ac:dyDescent="0.3">
      <c r="A13" s="1">
        <v>11</v>
      </c>
      <c r="B13" s="1" t="s">
        <v>13</v>
      </c>
      <c r="C13" s="2">
        <f t="shared" si="0"/>
        <v>-0.38268343236509034</v>
      </c>
      <c r="D13" s="2">
        <f t="shared" si="1"/>
        <v>0.92387953251128652</v>
      </c>
    </row>
    <row r="14" spans="1:4" x14ac:dyDescent="0.3">
      <c r="A14" s="1">
        <v>12</v>
      </c>
      <c r="B14" s="1" t="s">
        <v>14</v>
      </c>
      <c r="C14" s="3">
        <f t="shared" si="0"/>
        <v>-1.83772268236293E-16</v>
      </c>
      <c r="D14" s="1">
        <f t="shared" si="1"/>
        <v>1</v>
      </c>
    </row>
    <row r="15" spans="1:4" x14ac:dyDescent="0.3">
      <c r="A15" s="1">
        <v>13</v>
      </c>
      <c r="B15" s="1" t="s">
        <v>15</v>
      </c>
      <c r="C15" s="2">
        <f t="shared" si="0"/>
        <v>0.38268343236509</v>
      </c>
      <c r="D15" s="2">
        <f t="shared" si="1"/>
        <v>0.92387953251128663</v>
      </c>
    </row>
    <row r="16" spans="1:4" x14ac:dyDescent="0.3">
      <c r="A16" s="1">
        <v>14</v>
      </c>
      <c r="B16" s="1" t="s">
        <v>16</v>
      </c>
      <c r="C16" s="2">
        <f t="shared" si="0"/>
        <v>0.70710678118654735</v>
      </c>
      <c r="D16" s="2">
        <f t="shared" si="1"/>
        <v>0.70710678118654768</v>
      </c>
    </row>
    <row r="17" spans="1:4" x14ac:dyDescent="0.3">
      <c r="A17" s="1">
        <v>15</v>
      </c>
      <c r="B17" s="1" t="s">
        <v>17</v>
      </c>
      <c r="C17" s="2">
        <f t="shared" si="0"/>
        <v>0.92387953251128652</v>
      </c>
      <c r="D17" s="2">
        <f t="shared" si="1"/>
        <v>0.38268343236509039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7710D-9CCD-446B-83EE-732E8520ADF4}">
  <dimension ref="A1:M145"/>
  <sheetViews>
    <sheetView tabSelected="1" topLeftCell="A24" zoomScale="108" zoomScaleNormal="130" workbookViewId="0">
      <selection activeCell="F1" sqref="F1"/>
    </sheetView>
  </sheetViews>
  <sheetFormatPr baseColWidth="10" defaultColWidth="8.88671875" defaultRowHeight="14.4" x14ac:dyDescent="0.3"/>
  <cols>
    <col min="1" max="2" width="8.88671875" style="8"/>
    <col min="3" max="3" width="12.44140625" style="8" customWidth="1"/>
    <col min="4" max="16384" width="8.88671875" style="8"/>
  </cols>
  <sheetData>
    <row r="1" spans="1:13" s="7" customFormat="1" x14ac:dyDescent="0.3">
      <c r="A1" s="7" t="s">
        <v>20</v>
      </c>
      <c r="B1" s="7" t="s">
        <v>21</v>
      </c>
      <c r="C1" s="7" t="s">
        <v>22</v>
      </c>
      <c r="D1" s="7" t="s">
        <v>23</v>
      </c>
      <c r="E1" s="7" t="s">
        <v>24</v>
      </c>
      <c r="H1" s="7" t="s">
        <v>33</v>
      </c>
      <c r="I1" s="7" t="s">
        <v>21</v>
      </c>
      <c r="J1" s="7" t="s">
        <v>22</v>
      </c>
      <c r="K1" s="7" t="s">
        <v>23</v>
      </c>
      <c r="L1" s="7" t="s">
        <v>24</v>
      </c>
    </row>
    <row r="2" spans="1:13" x14ac:dyDescent="0.3">
      <c r="A2" s="8">
        <v>0</v>
      </c>
      <c r="B2" s="8">
        <v>0</v>
      </c>
      <c r="C2" s="8">
        <f>2*PI()*A2*B2/16</f>
        <v>0</v>
      </c>
      <c r="D2" s="8">
        <f>COS(C2)</f>
        <v>1</v>
      </c>
      <c r="E2" s="8">
        <f>SIN(C2)</f>
        <v>0</v>
      </c>
      <c r="F2" s="8" t="str">
        <f>"W" &amp; MOD(A2 * B2, 16)</f>
        <v>W0</v>
      </c>
      <c r="H2" s="8">
        <v>8</v>
      </c>
      <c r="I2" s="8">
        <v>0</v>
      </c>
      <c r="J2" s="8">
        <f>2*PI()*H2*I2/16</f>
        <v>0</v>
      </c>
      <c r="K2" s="8">
        <f>COS(J2)</f>
        <v>1</v>
      </c>
      <c r="L2" s="8">
        <f>SIN(J2)</f>
        <v>0</v>
      </c>
      <c r="M2" s="8" t="str">
        <f>"W" &amp; MOD(H2 * I2, 16)</f>
        <v>W0</v>
      </c>
    </row>
    <row r="3" spans="1:13" x14ac:dyDescent="0.3">
      <c r="A3" s="8">
        <v>0</v>
      </c>
      <c r="B3" s="8">
        <v>1</v>
      </c>
      <c r="C3" s="8">
        <f t="shared" ref="C3:C17" si="0">2*PI()*A3*B3/16</f>
        <v>0</v>
      </c>
      <c r="D3" s="8">
        <f t="shared" ref="D3:D17" si="1">COS(C3)</f>
        <v>1</v>
      </c>
      <c r="E3" s="8">
        <f t="shared" ref="E3:E17" si="2">SIN(C3)</f>
        <v>0</v>
      </c>
      <c r="F3" s="8" t="str">
        <f>"W" &amp; MOD(A3 * B3, 16)</f>
        <v>W0</v>
      </c>
      <c r="H3" s="8">
        <v>8</v>
      </c>
      <c r="I3" s="8">
        <v>1</v>
      </c>
      <c r="J3" s="8">
        <f t="shared" ref="J3:J17" si="3">2*PI()*H3*I3/16</f>
        <v>3.1415926535897931</v>
      </c>
      <c r="K3" s="8">
        <f t="shared" ref="K3:K17" si="4">COS(J3)</f>
        <v>-1</v>
      </c>
      <c r="L3" s="8">
        <f t="shared" ref="L3:L17" si="5">SIN(J3)</f>
        <v>1.22514845490862E-16</v>
      </c>
      <c r="M3" s="8" t="str">
        <f>"W" &amp; MOD(H3 * I3, 16)</f>
        <v>W8</v>
      </c>
    </row>
    <row r="4" spans="1:13" x14ac:dyDescent="0.3">
      <c r="A4" s="8">
        <v>0</v>
      </c>
      <c r="B4" s="8">
        <v>2</v>
      </c>
      <c r="C4" s="8">
        <f t="shared" si="0"/>
        <v>0</v>
      </c>
      <c r="D4" s="8">
        <f t="shared" si="1"/>
        <v>1</v>
      </c>
      <c r="E4" s="8">
        <f t="shared" si="2"/>
        <v>0</v>
      </c>
      <c r="F4" s="8" t="str">
        <f t="shared" ref="F4:F17" si="6">"W" &amp; MOD(A4 * B4, 16)</f>
        <v>W0</v>
      </c>
      <c r="H4" s="8">
        <v>8</v>
      </c>
      <c r="I4" s="8">
        <v>2</v>
      </c>
      <c r="J4" s="8">
        <f t="shared" si="3"/>
        <v>6.2831853071795862</v>
      </c>
      <c r="K4" s="8">
        <f t="shared" si="4"/>
        <v>1</v>
      </c>
      <c r="L4" s="8">
        <f t="shared" si="5"/>
        <v>-2.45029690981724E-16</v>
      </c>
      <c r="M4" s="8" t="str">
        <f t="shared" ref="M4:M17" si="7">"W" &amp; MOD(H4 * I4, 16)</f>
        <v>W0</v>
      </c>
    </row>
    <row r="5" spans="1:13" x14ac:dyDescent="0.3">
      <c r="A5" s="8">
        <v>0</v>
      </c>
      <c r="B5" s="8">
        <v>3</v>
      </c>
      <c r="C5" s="8">
        <f t="shared" si="0"/>
        <v>0</v>
      </c>
      <c r="D5" s="8">
        <f t="shared" si="1"/>
        <v>1</v>
      </c>
      <c r="E5" s="8">
        <f t="shared" si="2"/>
        <v>0</v>
      </c>
      <c r="F5" s="8" t="str">
        <f t="shared" si="6"/>
        <v>W0</v>
      </c>
      <c r="H5" s="8">
        <v>8</v>
      </c>
      <c r="I5" s="8">
        <v>3</v>
      </c>
      <c r="J5" s="8">
        <f t="shared" si="3"/>
        <v>9.4247779607693793</v>
      </c>
      <c r="K5" s="8">
        <f t="shared" si="4"/>
        <v>-1</v>
      </c>
      <c r="L5" s="8">
        <f t="shared" si="5"/>
        <v>3.67544536472586E-16</v>
      </c>
      <c r="M5" s="8" t="str">
        <f t="shared" si="7"/>
        <v>W8</v>
      </c>
    </row>
    <row r="6" spans="1:13" x14ac:dyDescent="0.3">
      <c r="A6" s="8">
        <v>0</v>
      </c>
      <c r="B6" s="8">
        <v>4</v>
      </c>
      <c r="C6" s="8">
        <f t="shared" si="0"/>
        <v>0</v>
      </c>
      <c r="D6" s="8">
        <f t="shared" si="1"/>
        <v>1</v>
      </c>
      <c r="E6" s="8">
        <f t="shared" si="2"/>
        <v>0</v>
      </c>
      <c r="F6" s="8" t="str">
        <f t="shared" si="6"/>
        <v>W0</v>
      </c>
      <c r="H6" s="8">
        <v>8</v>
      </c>
      <c r="I6" s="8">
        <v>4</v>
      </c>
      <c r="J6" s="8">
        <f t="shared" si="3"/>
        <v>12.566370614359172</v>
      </c>
      <c r="K6" s="8">
        <f t="shared" si="4"/>
        <v>1</v>
      </c>
      <c r="L6" s="8">
        <f t="shared" si="5"/>
        <v>-4.90059381963448E-16</v>
      </c>
      <c r="M6" s="8" t="str">
        <f t="shared" si="7"/>
        <v>W0</v>
      </c>
    </row>
    <row r="7" spans="1:13" x14ac:dyDescent="0.3">
      <c r="A7" s="8">
        <v>0</v>
      </c>
      <c r="B7" s="8">
        <v>5</v>
      </c>
      <c r="C7" s="8">
        <f t="shared" si="0"/>
        <v>0</v>
      </c>
      <c r="D7" s="8">
        <f t="shared" si="1"/>
        <v>1</v>
      </c>
      <c r="E7" s="8">
        <f t="shared" si="2"/>
        <v>0</v>
      </c>
      <c r="F7" s="8" t="str">
        <f t="shared" si="6"/>
        <v>W0</v>
      </c>
      <c r="H7" s="8">
        <v>8</v>
      </c>
      <c r="I7" s="8">
        <v>5</v>
      </c>
      <c r="J7" s="8">
        <f t="shared" si="3"/>
        <v>15.707963267948966</v>
      </c>
      <c r="K7" s="8">
        <f t="shared" si="4"/>
        <v>-1</v>
      </c>
      <c r="L7" s="8">
        <f t="shared" si="5"/>
        <v>6.1257422745431001E-16</v>
      </c>
      <c r="M7" s="8" t="str">
        <f t="shared" si="7"/>
        <v>W8</v>
      </c>
    </row>
    <row r="8" spans="1:13" x14ac:dyDescent="0.3">
      <c r="A8" s="8">
        <v>0</v>
      </c>
      <c r="B8" s="8">
        <v>6</v>
      </c>
      <c r="C8" s="8">
        <f t="shared" si="0"/>
        <v>0</v>
      </c>
      <c r="D8" s="8">
        <f t="shared" si="1"/>
        <v>1</v>
      </c>
      <c r="E8" s="8">
        <f t="shared" si="2"/>
        <v>0</v>
      </c>
      <c r="F8" s="8" t="str">
        <f t="shared" si="6"/>
        <v>W0</v>
      </c>
      <c r="H8" s="8">
        <v>8</v>
      </c>
      <c r="I8" s="8">
        <v>6</v>
      </c>
      <c r="J8" s="8">
        <f t="shared" si="3"/>
        <v>18.849555921538759</v>
      </c>
      <c r="K8" s="8">
        <f t="shared" si="4"/>
        <v>1</v>
      </c>
      <c r="L8" s="8">
        <f t="shared" si="5"/>
        <v>-7.3508907294517201E-16</v>
      </c>
      <c r="M8" s="8" t="str">
        <f t="shared" si="7"/>
        <v>W0</v>
      </c>
    </row>
    <row r="9" spans="1:13" x14ac:dyDescent="0.3">
      <c r="A9" s="8">
        <v>0</v>
      </c>
      <c r="B9" s="8">
        <v>7</v>
      </c>
      <c r="C9" s="8">
        <f t="shared" si="0"/>
        <v>0</v>
      </c>
      <c r="D9" s="8">
        <f t="shared" si="1"/>
        <v>1</v>
      </c>
      <c r="E9" s="8">
        <f t="shared" si="2"/>
        <v>0</v>
      </c>
      <c r="F9" s="8" t="str">
        <f t="shared" si="6"/>
        <v>W0</v>
      </c>
      <c r="H9" s="8">
        <v>8</v>
      </c>
      <c r="I9" s="8">
        <v>7</v>
      </c>
      <c r="J9" s="8">
        <f t="shared" si="3"/>
        <v>21.991148575128552</v>
      </c>
      <c r="K9" s="8">
        <f t="shared" si="4"/>
        <v>-1</v>
      </c>
      <c r="L9" s="8">
        <f t="shared" si="5"/>
        <v>8.5760391843603401E-16</v>
      </c>
      <c r="M9" s="8" t="str">
        <f t="shared" si="7"/>
        <v>W8</v>
      </c>
    </row>
    <row r="10" spans="1:13" x14ac:dyDescent="0.3">
      <c r="A10" s="8">
        <v>0</v>
      </c>
      <c r="B10" s="8">
        <v>8</v>
      </c>
      <c r="C10" s="8">
        <f t="shared" si="0"/>
        <v>0</v>
      </c>
      <c r="D10" s="8">
        <f t="shared" si="1"/>
        <v>1</v>
      </c>
      <c r="E10" s="8">
        <f t="shared" si="2"/>
        <v>0</v>
      </c>
      <c r="F10" s="8" t="str">
        <f t="shared" si="6"/>
        <v>W0</v>
      </c>
      <c r="H10" s="8">
        <v>8</v>
      </c>
      <c r="I10" s="8">
        <v>8</v>
      </c>
      <c r="J10" s="8">
        <f t="shared" si="3"/>
        <v>25.132741228718345</v>
      </c>
      <c r="K10" s="8">
        <f t="shared" si="4"/>
        <v>1</v>
      </c>
      <c r="L10" s="8">
        <f t="shared" si="5"/>
        <v>-9.8011876392689601E-16</v>
      </c>
      <c r="M10" s="8" t="str">
        <f t="shared" si="7"/>
        <v>W0</v>
      </c>
    </row>
    <row r="11" spans="1:13" x14ac:dyDescent="0.3">
      <c r="A11" s="8">
        <v>0</v>
      </c>
      <c r="B11" s="8">
        <v>9</v>
      </c>
      <c r="C11" s="8">
        <f t="shared" si="0"/>
        <v>0</v>
      </c>
      <c r="D11" s="8">
        <f t="shared" si="1"/>
        <v>1</v>
      </c>
      <c r="E11" s="8">
        <f t="shared" si="2"/>
        <v>0</v>
      </c>
      <c r="F11" s="8" t="str">
        <f t="shared" si="6"/>
        <v>W0</v>
      </c>
      <c r="H11" s="8">
        <v>8</v>
      </c>
      <c r="I11" s="8">
        <v>9</v>
      </c>
      <c r="J11" s="8">
        <f t="shared" si="3"/>
        <v>28.274333882308138</v>
      </c>
      <c r="K11" s="8">
        <f t="shared" si="4"/>
        <v>-1</v>
      </c>
      <c r="L11" s="8">
        <f t="shared" si="5"/>
        <v>1.102633609417758E-15</v>
      </c>
      <c r="M11" s="8" t="str">
        <f t="shared" si="7"/>
        <v>W8</v>
      </c>
    </row>
    <row r="12" spans="1:13" x14ac:dyDescent="0.3">
      <c r="A12" s="8">
        <v>0</v>
      </c>
      <c r="B12" s="8">
        <v>10</v>
      </c>
      <c r="C12" s="8">
        <f t="shared" si="0"/>
        <v>0</v>
      </c>
      <c r="D12" s="8">
        <f t="shared" si="1"/>
        <v>1</v>
      </c>
      <c r="E12" s="8">
        <f t="shared" si="2"/>
        <v>0</v>
      </c>
      <c r="F12" s="8" t="str">
        <f t="shared" si="6"/>
        <v>W0</v>
      </c>
      <c r="H12" s="8">
        <v>8</v>
      </c>
      <c r="I12" s="8">
        <v>10</v>
      </c>
      <c r="J12" s="8">
        <f t="shared" si="3"/>
        <v>31.415926535897931</v>
      </c>
      <c r="K12" s="8">
        <f t="shared" si="4"/>
        <v>1</v>
      </c>
      <c r="L12" s="8">
        <f t="shared" si="5"/>
        <v>-1.22514845490862E-15</v>
      </c>
      <c r="M12" s="8" t="str">
        <f t="shared" si="7"/>
        <v>W0</v>
      </c>
    </row>
    <row r="13" spans="1:13" x14ac:dyDescent="0.3">
      <c r="A13" s="8">
        <v>0</v>
      </c>
      <c r="B13" s="8">
        <v>11</v>
      </c>
      <c r="C13" s="8">
        <f t="shared" si="0"/>
        <v>0</v>
      </c>
      <c r="D13" s="8">
        <f t="shared" si="1"/>
        <v>1</v>
      </c>
      <c r="E13" s="8">
        <f t="shared" si="2"/>
        <v>0</v>
      </c>
      <c r="F13" s="8" t="str">
        <f t="shared" si="6"/>
        <v>W0</v>
      </c>
      <c r="H13" s="8">
        <v>8</v>
      </c>
      <c r="I13" s="8">
        <v>11</v>
      </c>
      <c r="J13" s="8">
        <f t="shared" si="3"/>
        <v>34.557519189487721</v>
      </c>
      <c r="K13" s="8">
        <f t="shared" si="4"/>
        <v>-1</v>
      </c>
      <c r="L13" s="8">
        <f t="shared" si="5"/>
        <v>4.9003769791999829E-15</v>
      </c>
      <c r="M13" s="8" t="str">
        <f t="shared" si="7"/>
        <v>W8</v>
      </c>
    </row>
    <row r="14" spans="1:13" x14ac:dyDescent="0.3">
      <c r="A14" s="8">
        <v>0</v>
      </c>
      <c r="B14" s="8">
        <v>12</v>
      </c>
      <c r="C14" s="8">
        <f t="shared" si="0"/>
        <v>0</v>
      </c>
      <c r="D14" s="8">
        <f t="shared" si="1"/>
        <v>1</v>
      </c>
      <c r="E14" s="8">
        <f t="shared" si="2"/>
        <v>0</v>
      </c>
      <c r="F14" s="8" t="str">
        <f t="shared" si="6"/>
        <v>W0</v>
      </c>
      <c r="H14" s="8">
        <v>8</v>
      </c>
      <c r="I14" s="8">
        <v>12</v>
      </c>
      <c r="J14" s="8">
        <f t="shared" si="3"/>
        <v>37.699111843077517</v>
      </c>
      <c r="K14" s="8">
        <f t="shared" si="4"/>
        <v>1</v>
      </c>
      <c r="L14" s="8">
        <f t="shared" si="5"/>
        <v>-1.470178145890344E-15</v>
      </c>
      <c r="M14" s="8" t="str">
        <f t="shared" si="7"/>
        <v>W0</v>
      </c>
    </row>
    <row r="15" spans="1:13" x14ac:dyDescent="0.3">
      <c r="A15" s="8">
        <v>0</v>
      </c>
      <c r="B15" s="8">
        <v>13</v>
      </c>
      <c r="C15" s="8">
        <f t="shared" si="0"/>
        <v>0</v>
      </c>
      <c r="D15" s="8">
        <f t="shared" si="1"/>
        <v>1</v>
      </c>
      <c r="E15" s="8">
        <f t="shared" si="2"/>
        <v>0</v>
      </c>
      <c r="F15" s="8" t="str">
        <f t="shared" si="6"/>
        <v>W0</v>
      </c>
      <c r="H15" s="8">
        <v>8</v>
      </c>
      <c r="I15" s="8">
        <v>13</v>
      </c>
      <c r="J15" s="8">
        <f t="shared" si="3"/>
        <v>40.840704496667314</v>
      </c>
      <c r="K15" s="8">
        <f t="shared" si="4"/>
        <v>-1</v>
      </c>
      <c r="L15" s="8">
        <f t="shared" si="5"/>
        <v>-1.9600206874192949E-15</v>
      </c>
      <c r="M15" s="8" t="str">
        <f t="shared" si="7"/>
        <v>W8</v>
      </c>
    </row>
    <row r="16" spans="1:13" x14ac:dyDescent="0.3">
      <c r="A16" s="8">
        <v>0</v>
      </c>
      <c r="B16" s="8">
        <v>14</v>
      </c>
      <c r="C16" s="8">
        <f t="shared" si="0"/>
        <v>0</v>
      </c>
      <c r="D16" s="8">
        <f t="shared" si="1"/>
        <v>1</v>
      </c>
      <c r="E16" s="8">
        <f t="shared" si="2"/>
        <v>0</v>
      </c>
      <c r="F16" s="8" t="str">
        <f t="shared" si="6"/>
        <v>W0</v>
      </c>
      <c r="H16" s="8">
        <v>8</v>
      </c>
      <c r="I16" s="8">
        <v>14</v>
      </c>
      <c r="J16" s="8">
        <f t="shared" si="3"/>
        <v>43.982297150257104</v>
      </c>
      <c r="K16" s="8">
        <f t="shared" si="4"/>
        <v>1</v>
      </c>
      <c r="L16" s="8">
        <f t="shared" si="5"/>
        <v>-1.715207836872068E-15</v>
      </c>
      <c r="M16" s="8" t="str">
        <f t="shared" si="7"/>
        <v>W0</v>
      </c>
    </row>
    <row r="17" spans="1:13" x14ac:dyDescent="0.3">
      <c r="A17" s="8">
        <v>0</v>
      </c>
      <c r="B17" s="8">
        <v>15</v>
      </c>
      <c r="C17" s="8">
        <f t="shared" si="0"/>
        <v>0</v>
      </c>
      <c r="D17" s="8">
        <f t="shared" si="1"/>
        <v>1</v>
      </c>
      <c r="E17" s="8">
        <f t="shared" si="2"/>
        <v>0</v>
      </c>
      <c r="F17" s="8" t="str">
        <f t="shared" si="6"/>
        <v>W0</v>
      </c>
      <c r="H17" s="8">
        <v>8</v>
      </c>
      <c r="I17" s="8">
        <v>15</v>
      </c>
      <c r="J17" s="8">
        <f t="shared" si="3"/>
        <v>47.123889803846893</v>
      </c>
      <c r="K17" s="8">
        <f t="shared" si="4"/>
        <v>-1</v>
      </c>
      <c r="L17" s="8">
        <f t="shared" si="5"/>
        <v>5.3904363611634309E-15</v>
      </c>
      <c r="M17" s="8" t="str">
        <f t="shared" si="7"/>
        <v>W8</v>
      </c>
    </row>
    <row r="19" spans="1:13" s="7" customFormat="1" x14ac:dyDescent="0.3">
      <c r="A19" s="7" t="s">
        <v>25</v>
      </c>
      <c r="B19" s="7" t="s">
        <v>21</v>
      </c>
      <c r="C19" s="7" t="s">
        <v>22</v>
      </c>
      <c r="D19" s="7" t="s">
        <v>23</v>
      </c>
      <c r="E19" s="7" t="s">
        <v>24</v>
      </c>
      <c r="H19" s="7" t="s">
        <v>32</v>
      </c>
      <c r="I19" s="7" t="s">
        <v>21</v>
      </c>
      <c r="J19" s="7" t="s">
        <v>22</v>
      </c>
      <c r="K19" s="7" t="s">
        <v>23</v>
      </c>
      <c r="L19" s="7" t="s">
        <v>24</v>
      </c>
    </row>
    <row r="20" spans="1:13" x14ac:dyDescent="0.3">
      <c r="A20" s="8">
        <v>1</v>
      </c>
      <c r="B20" s="8">
        <v>0</v>
      </c>
      <c r="C20" s="8">
        <f>2*PI()*A20*B20/16</f>
        <v>0</v>
      </c>
      <c r="D20" s="8">
        <f>COS(C20)</f>
        <v>1</v>
      </c>
      <c r="E20" s="8">
        <f>SIN(C20)</f>
        <v>0</v>
      </c>
      <c r="F20" s="8" t="str">
        <f>"W" &amp; MOD(A20 * B20, 16)</f>
        <v>W0</v>
      </c>
      <c r="H20" s="8">
        <v>9</v>
      </c>
      <c r="I20" s="8">
        <v>0</v>
      </c>
      <c r="J20" s="8">
        <f>2*PI()*H20*I20/16</f>
        <v>0</v>
      </c>
      <c r="K20" s="8">
        <f>COS(J20)</f>
        <v>1</v>
      </c>
      <c r="L20" s="8">
        <f>SIN(J20)</f>
        <v>0</v>
      </c>
      <c r="M20" s="8" t="str">
        <f>"W" &amp; MOD(H20 * I20, 16)</f>
        <v>W0</v>
      </c>
    </row>
    <row r="21" spans="1:13" x14ac:dyDescent="0.3">
      <c r="A21" s="8">
        <v>1</v>
      </c>
      <c r="B21" s="8">
        <v>1</v>
      </c>
      <c r="C21" s="8">
        <f t="shared" ref="C21:C35" si="8">2*PI()*A21*B21/16</f>
        <v>0.39269908169872414</v>
      </c>
      <c r="D21" s="8">
        <f t="shared" ref="D21:D35" si="9">COS(C21)</f>
        <v>0.92387953251128674</v>
      </c>
      <c r="E21" s="8">
        <f t="shared" ref="E21:E35" si="10">SIN(C21)</f>
        <v>0.38268343236508978</v>
      </c>
      <c r="F21" s="8" t="str">
        <f>"W" &amp; MOD(A21 * B21, 16)</f>
        <v>W1</v>
      </c>
      <c r="H21" s="8">
        <v>9</v>
      </c>
      <c r="I21" s="8">
        <v>1</v>
      </c>
      <c r="J21" s="8">
        <f t="shared" ref="J21:J35" si="11">2*PI()*H21*I21/16</f>
        <v>3.5342917352885173</v>
      </c>
      <c r="K21" s="8">
        <f t="shared" ref="K21:K35" si="12">COS(J21)</f>
        <v>-0.92387953251128685</v>
      </c>
      <c r="L21" s="8">
        <f t="shared" ref="L21:L35" si="13">SIN(J21)</f>
        <v>-0.38268343236508967</v>
      </c>
      <c r="M21" s="8" t="str">
        <f>"W" &amp; MOD(H21 * I21, 16)</f>
        <v>W9</v>
      </c>
    </row>
    <row r="22" spans="1:13" x14ac:dyDescent="0.3">
      <c r="A22" s="8">
        <v>1</v>
      </c>
      <c r="B22" s="8">
        <v>2</v>
      </c>
      <c r="C22" s="8">
        <f t="shared" si="8"/>
        <v>0.78539816339744828</v>
      </c>
      <c r="D22" s="8">
        <f t="shared" si="9"/>
        <v>0.70710678118654757</v>
      </c>
      <c r="E22" s="8">
        <f t="shared" si="10"/>
        <v>0.70710678118654746</v>
      </c>
      <c r="F22" s="8" t="str">
        <f t="shared" ref="F22:F35" si="14">"W" &amp; MOD(A22 * B22, 16)</f>
        <v>W2</v>
      </c>
      <c r="H22" s="8">
        <v>9</v>
      </c>
      <c r="I22" s="8">
        <v>2</v>
      </c>
      <c r="J22" s="8">
        <f t="shared" si="11"/>
        <v>7.0685834705770345</v>
      </c>
      <c r="K22" s="8">
        <f t="shared" si="12"/>
        <v>0.70710678118654768</v>
      </c>
      <c r="L22" s="8">
        <f t="shared" si="13"/>
        <v>0.70710678118654735</v>
      </c>
      <c r="M22" s="8" t="str">
        <f t="shared" ref="M22:M35" si="15">"W" &amp; MOD(H22 * I22, 16)</f>
        <v>W2</v>
      </c>
    </row>
    <row r="23" spans="1:13" x14ac:dyDescent="0.3">
      <c r="A23" s="8">
        <v>1</v>
      </c>
      <c r="B23" s="8">
        <v>3</v>
      </c>
      <c r="C23" s="8">
        <f t="shared" si="8"/>
        <v>1.1780972450961724</v>
      </c>
      <c r="D23" s="8">
        <f t="shared" si="9"/>
        <v>0.38268343236508984</v>
      </c>
      <c r="E23" s="8">
        <f t="shared" si="10"/>
        <v>0.92387953251128674</v>
      </c>
      <c r="F23" s="8" t="str">
        <f t="shared" si="14"/>
        <v>W3</v>
      </c>
      <c r="H23" s="8">
        <v>9</v>
      </c>
      <c r="I23" s="8">
        <v>3</v>
      </c>
      <c r="J23" s="8">
        <f t="shared" si="11"/>
        <v>10.602875205865551</v>
      </c>
      <c r="K23" s="8">
        <f t="shared" si="12"/>
        <v>-0.38268343236509056</v>
      </c>
      <c r="L23" s="8">
        <f t="shared" si="13"/>
        <v>-0.92387953251128641</v>
      </c>
      <c r="M23" s="8" t="str">
        <f t="shared" si="15"/>
        <v>W11</v>
      </c>
    </row>
    <row r="24" spans="1:13" x14ac:dyDescent="0.3">
      <c r="A24" s="8">
        <v>1</v>
      </c>
      <c r="B24" s="8">
        <v>4</v>
      </c>
      <c r="C24" s="8">
        <f t="shared" si="8"/>
        <v>1.5707963267948966</v>
      </c>
      <c r="D24" s="8">
        <f t="shared" si="9"/>
        <v>6.1257422745431001E-17</v>
      </c>
      <c r="E24" s="8">
        <f t="shared" si="10"/>
        <v>1</v>
      </c>
      <c r="F24" s="8" t="str">
        <f t="shared" si="14"/>
        <v>W4</v>
      </c>
      <c r="H24" s="8">
        <v>9</v>
      </c>
      <c r="I24" s="8">
        <v>4</v>
      </c>
      <c r="J24" s="8">
        <f t="shared" si="11"/>
        <v>14.137166941154069</v>
      </c>
      <c r="K24" s="8">
        <f t="shared" si="12"/>
        <v>5.51316804708879E-16</v>
      </c>
      <c r="L24" s="8">
        <f t="shared" si="13"/>
        <v>1</v>
      </c>
      <c r="M24" s="8" t="str">
        <f t="shared" si="15"/>
        <v>W4</v>
      </c>
    </row>
    <row r="25" spans="1:13" x14ac:dyDescent="0.3">
      <c r="A25" s="8">
        <v>1</v>
      </c>
      <c r="B25" s="8">
        <v>5</v>
      </c>
      <c r="C25" s="8">
        <f t="shared" si="8"/>
        <v>1.9634954084936207</v>
      </c>
      <c r="D25" s="8">
        <f t="shared" si="9"/>
        <v>-0.38268343236508973</v>
      </c>
      <c r="E25" s="8">
        <f t="shared" si="10"/>
        <v>0.92387953251128674</v>
      </c>
      <c r="F25" s="8" t="str">
        <f t="shared" si="14"/>
        <v>W5</v>
      </c>
      <c r="H25" s="8">
        <v>9</v>
      </c>
      <c r="I25" s="8">
        <v>5</v>
      </c>
      <c r="J25" s="8">
        <f t="shared" si="11"/>
        <v>17.671458676442587</v>
      </c>
      <c r="K25" s="8">
        <f t="shared" si="12"/>
        <v>0.38268343236508956</v>
      </c>
      <c r="L25" s="8">
        <f t="shared" si="13"/>
        <v>-0.92387953251128685</v>
      </c>
      <c r="M25" s="8" t="str">
        <f t="shared" si="15"/>
        <v>W13</v>
      </c>
    </row>
    <row r="26" spans="1:13" x14ac:dyDescent="0.3">
      <c r="A26" s="8">
        <v>1</v>
      </c>
      <c r="B26" s="8">
        <v>6</v>
      </c>
      <c r="C26" s="8">
        <f t="shared" si="8"/>
        <v>2.3561944901923448</v>
      </c>
      <c r="D26" s="8">
        <f t="shared" si="9"/>
        <v>-0.70710678118654746</v>
      </c>
      <c r="E26" s="8">
        <f t="shared" si="10"/>
        <v>0.70710678118654757</v>
      </c>
      <c r="F26" s="8" t="str">
        <f t="shared" si="14"/>
        <v>W6</v>
      </c>
      <c r="H26" s="8">
        <v>9</v>
      </c>
      <c r="I26" s="8">
        <v>6</v>
      </c>
      <c r="J26" s="8">
        <f t="shared" si="11"/>
        <v>21.205750411731103</v>
      </c>
      <c r="K26" s="8">
        <f t="shared" si="12"/>
        <v>-0.70710678118654635</v>
      </c>
      <c r="L26" s="8">
        <f t="shared" si="13"/>
        <v>0.70710678118654868</v>
      </c>
      <c r="M26" s="8" t="str">
        <f t="shared" si="15"/>
        <v>W6</v>
      </c>
    </row>
    <row r="27" spans="1:13" x14ac:dyDescent="0.3">
      <c r="A27" s="8">
        <v>1</v>
      </c>
      <c r="B27" s="8">
        <v>7</v>
      </c>
      <c r="C27" s="8">
        <f t="shared" si="8"/>
        <v>2.748893571891069</v>
      </c>
      <c r="D27" s="8">
        <f t="shared" si="9"/>
        <v>-0.92387953251128674</v>
      </c>
      <c r="E27" s="8">
        <f t="shared" si="10"/>
        <v>0.38268343236508989</v>
      </c>
      <c r="F27" s="8" t="str">
        <f t="shared" si="14"/>
        <v>W7</v>
      </c>
      <c r="H27" s="8">
        <v>9</v>
      </c>
      <c r="I27" s="8">
        <v>7</v>
      </c>
      <c r="J27" s="8">
        <f t="shared" si="11"/>
        <v>24.740042147019622</v>
      </c>
      <c r="K27" s="8">
        <f t="shared" si="12"/>
        <v>0.92387953251128685</v>
      </c>
      <c r="L27" s="8">
        <f t="shared" si="13"/>
        <v>-0.38268343236508945</v>
      </c>
      <c r="M27" s="8" t="str">
        <f t="shared" si="15"/>
        <v>W15</v>
      </c>
    </row>
    <row r="28" spans="1:13" x14ac:dyDescent="0.3">
      <c r="A28" s="8">
        <v>1</v>
      </c>
      <c r="B28" s="8">
        <v>8</v>
      </c>
      <c r="C28" s="8">
        <f t="shared" si="8"/>
        <v>3.1415926535897931</v>
      </c>
      <c r="D28" s="8">
        <f t="shared" si="9"/>
        <v>-1</v>
      </c>
      <c r="E28" s="8">
        <f t="shared" si="10"/>
        <v>1.22514845490862E-16</v>
      </c>
      <c r="F28" s="8" t="str">
        <f t="shared" si="14"/>
        <v>W8</v>
      </c>
      <c r="H28" s="8">
        <v>9</v>
      </c>
      <c r="I28" s="8">
        <v>8</v>
      </c>
      <c r="J28" s="8">
        <f t="shared" si="11"/>
        <v>28.274333882308138</v>
      </c>
      <c r="K28" s="8">
        <f t="shared" si="12"/>
        <v>-1</v>
      </c>
      <c r="L28" s="8">
        <f t="shared" si="13"/>
        <v>1.102633609417758E-15</v>
      </c>
      <c r="M28" s="8" t="str">
        <f t="shared" si="15"/>
        <v>W8</v>
      </c>
    </row>
    <row r="29" spans="1:13" x14ac:dyDescent="0.3">
      <c r="A29" s="8">
        <v>1</v>
      </c>
      <c r="B29" s="8">
        <v>9</v>
      </c>
      <c r="C29" s="8">
        <f t="shared" si="8"/>
        <v>3.5342917352885173</v>
      </c>
      <c r="D29" s="8">
        <f t="shared" si="9"/>
        <v>-0.92387953251128685</v>
      </c>
      <c r="E29" s="8">
        <f t="shared" si="10"/>
        <v>-0.38268343236508967</v>
      </c>
      <c r="F29" s="8" t="str">
        <f t="shared" si="14"/>
        <v>W9</v>
      </c>
      <c r="H29" s="8">
        <v>9</v>
      </c>
      <c r="I29" s="8">
        <v>9</v>
      </c>
      <c r="J29" s="8">
        <f t="shared" si="11"/>
        <v>31.808625617596654</v>
      </c>
      <c r="K29" s="8">
        <f t="shared" si="12"/>
        <v>0.92387953251128774</v>
      </c>
      <c r="L29" s="8">
        <f t="shared" si="13"/>
        <v>0.38268343236508739</v>
      </c>
      <c r="M29" s="8" t="str">
        <f t="shared" si="15"/>
        <v>W1</v>
      </c>
    </row>
    <row r="30" spans="1:13" x14ac:dyDescent="0.3">
      <c r="A30" s="8">
        <v>1</v>
      </c>
      <c r="B30" s="8">
        <v>10</v>
      </c>
      <c r="C30" s="8">
        <f t="shared" si="8"/>
        <v>3.9269908169872414</v>
      </c>
      <c r="D30" s="8">
        <f t="shared" si="9"/>
        <v>-0.70710678118654768</v>
      </c>
      <c r="E30" s="8">
        <f t="shared" si="10"/>
        <v>-0.70710678118654746</v>
      </c>
      <c r="F30" s="8" t="str">
        <f t="shared" si="14"/>
        <v>W10</v>
      </c>
      <c r="H30" s="8">
        <v>9</v>
      </c>
      <c r="I30" s="8">
        <v>10</v>
      </c>
      <c r="J30" s="8">
        <f t="shared" si="11"/>
        <v>35.342917352885173</v>
      </c>
      <c r="K30" s="8">
        <f t="shared" si="12"/>
        <v>-0.70710678118654791</v>
      </c>
      <c r="L30" s="8">
        <f t="shared" si="13"/>
        <v>-0.70710678118654713</v>
      </c>
      <c r="M30" s="8" t="str">
        <f t="shared" si="15"/>
        <v>W10</v>
      </c>
    </row>
    <row r="31" spans="1:13" x14ac:dyDescent="0.3">
      <c r="A31" s="8">
        <v>1</v>
      </c>
      <c r="B31" s="8">
        <v>11</v>
      </c>
      <c r="C31" s="8">
        <f t="shared" si="8"/>
        <v>4.3196898986859651</v>
      </c>
      <c r="D31" s="8">
        <f t="shared" si="9"/>
        <v>-0.38268343236509034</v>
      </c>
      <c r="E31" s="8">
        <f t="shared" si="10"/>
        <v>-0.92387953251128652</v>
      </c>
      <c r="F31" s="8" t="str">
        <f t="shared" si="14"/>
        <v>W11</v>
      </c>
      <c r="H31" s="8">
        <v>9</v>
      </c>
      <c r="I31" s="8">
        <v>11</v>
      </c>
      <c r="J31" s="8">
        <f t="shared" si="11"/>
        <v>38.877209088173693</v>
      </c>
      <c r="K31" s="8">
        <f t="shared" si="12"/>
        <v>0.38268343236508828</v>
      </c>
      <c r="L31" s="8">
        <f t="shared" si="13"/>
        <v>0.9238795325112874</v>
      </c>
      <c r="M31" s="8" t="str">
        <f t="shared" si="15"/>
        <v>W3</v>
      </c>
    </row>
    <row r="32" spans="1:13" x14ac:dyDescent="0.3">
      <c r="A32" s="8">
        <v>1</v>
      </c>
      <c r="B32" s="8">
        <v>12</v>
      </c>
      <c r="C32" s="8">
        <f t="shared" si="8"/>
        <v>4.7123889803846897</v>
      </c>
      <c r="D32" s="8">
        <f t="shared" si="9"/>
        <v>-1.83772268236293E-16</v>
      </c>
      <c r="E32" s="8">
        <f t="shared" si="10"/>
        <v>-1</v>
      </c>
      <c r="F32" s="8" t="str">
        <f t="shared" si="14"/>
        <v>W12</v>
      </c>
      <c r="H32" s="8">
        <v>9</v>
      </c>
      <c r="I32" s="8">
        <v>12</v>
      </c>
      <c r="J32" s="8">
        <f t="shared" si="11"/>
        <v>42.411500823462205</v>
      </c>
      <c r="K32" s="8">
        <f t="shared" si="12"/>
        <v>-3.4303072535268875E-15</v>
      </c>
      <c r="L32" s="8">
        <f t="shared" si="13"/>
        <v>-1</v>
      </c>
      <c r="M32" s="8" t="str">
        <f t="shared" si="15"/>
        <v>W12</v>
      </c>
    </row>
    <row r="33" spans="1:13" x14ac:dyDescent="0.3">
      <c r="A33" s="8">
        <v>1</v>
      </c>
      <c r="B33" s="8">
        <v>13</v>
      </c>
      <c r="C33" s="8">
        <f t="shared" si="8"/>
        <v>5.1050880620834143</v>
      </c>
      <c r="D33" s="8">
        <f t="shared" si="9"/>
        <v>0.38268343236509</v>
      </c>
      <c r="E33" s="8">
        <f t="shared" si="10"/>
        <v>-0.92387953251128663</v>
      </c>
      <c r="F33" s="8" t="str">
        <f t="shared" si="14"/>
        <v>W13</v>
      </c>
      <c r="H33" s="8">
        <v>9</v>
      </c>
      <c r="I33" s="8">
        <v>13</v>
      </c>
      <c r="J33" s="8">
        <f t="shared" si="11"/>
        <v>45.945792558750725</v>
      </c>
      <c r="K33" s="8">
        <f t="shared" si="12"/>
        <v>-0.38268343236508851</v>
      </c>
      <c r="L33" s="8">
        <f t="shared" si="13"/>
        <v>0.92387953251128729</v>
      </c>
      <c r="M33" s="8" t="str">
        <f t="shared" si="15"/>
        <v>W5</v>
      </c>
    </row>
    <row r="34" spans="1:13" x14ac:dyDescent="0.3">
      <c r="A34" s="8">
        <v>1</v>
      </c>
      <c r="B34" s="8">
        <v>14</v>
      </c>
      <c r="C34" s="8">
        <f t="shared" si="8"/>
        <v>5.497787143782138</v>
      </c>
      <c r="D34" s="8">
        <f t="shared" si="9"/>
        <v>0.70710678118654735</v>
      </c>
      <c r="E34" s="8">
        <f t="shared" si="10"/>
        <v>-0.70710678118654768</v>
      </c>
      <c r="F34" s="8" t="str">
        <f t="shared" si="14"/>
        <v>W14</v>
      </c>
      <c r="H34" s="8">
        <v>9</v>
      </c>
      <c r="I34" s="8">
        <v>14</v>
      </c>
      <c r="J34" s="8">
        <f t="shared" si="11"/>
        <v>49.480084294039244</v>
      </c>
      <c r="K34" s="8">
        <f t="shared" si="12"/>
        <v>0.70710678118654802</v>
      </c>
      <c r="L34" s="8">
        <f t="shared" si="13"/>
        <v>-0.70710678118654702</v>
      </c>
      <c r="M34" s="8" t="str">
        <f t="shared" si="15"/>
        <v>W14</v>
      </c>
    </row>
    <row r="35" spans="1:13" x14ac:dyDescent="0.3">
      <c r="A35" s="8">
        <v>1</v>
      </c>
      <c r="B35" s="8">
        <v>15</v>
      </c>
      <c r="C35" s="8">
        <f t="shared" si="8"/>
        <v>5.8904862254808616</v>
      </c>
      <c r="D35" s="8">
        <f t="shared" si="9"/>
        <v>0.92387953251128652</v>
      </c>
      <c r="E35" s="8">
        <f t="shared" si="10"/>
        <v>-0.38268343236509039</v>
      </c>
      <c r="F35" s="8" t="str">
        <f t="shared" si="14"/>
        <v>W15</v>
      </c>
      <c r="H35" s="8">
        <v>9</v>
      </c>
      <c r="I35" s="8">
        <v>15</v>
      </c>
      <c r="J35" s="8">
        <f t="shared" si="11"/>
        <v>53.014376029327757</v>
      </c>
      <c r="K35" s="8">
        <f t="shared" si="12"/>
        <v>-0.92387953251128507</v>
      </c>
      <c r="L35" s="8">
        <f t="shared" si="13"/>
        <v>0.38268343236509372</v>
      </c>
      <c r="M35" s="8" t="str">
        <f t="shared" si="15"/>
        <v>W7</v>
      </c>
    </row>
    <row r="37" spans="1:13" s="7" customFormat="1" x14ac:dyDescent="0.3">
      <c r="A37" s="7" t="s">
        <v>26</v>
      </c>
      <c r="B37" s="7" t="s">
        <v>21</v>
      </c>
      <c r="C37" s="7" t="s">
        <v>22</v>
      </c>
      <c r="D37" s="7" t="s">
        <v>23</v>
      </c>
      <c r="E37" s="7" t="s">
        <v>24</v>
      </c>
      <c r="H37" s="7" t="s">
        <v>34</v>
      </c>
      <c r="I37" s="7" t="s">
        <v>21</v>
      </c>
      <c r="J37" s="7" t="s">
        <v>22</v>
      </c>
      <c r="K37" s="7" t="s">
        <v>23</v>
      </c>
      <c r="L37" s="7" t="s">
        <v>24</v>
      </c>
    </row>
    <row r="38" spans="1:13" x14ac:dyDescent="0.3">
      <c r="A38" s="8">
        <v>2</v>
      </c>
      <c r="B38" s="8">
        <v>0</v>
      </c>
      <c r="C38" s="8">
        <f>2*PI()*A38*B38/16</f>
        <v>0</v>
      </c>
      <c r="D38" s="8">
        <f>COS(C38)</f>
        <v>1</v>
      </c>
      <c r="E38" s="8">
        <f>SIN(C38)</f>
        <v>0</v>
      </c>
      <c r="F38" s="8" t="str">
        <f>"W" &amp; MOD(A38 * B38, 16)</f>
        <v>W0</v>
      </c>
      <c r="H38" s="8">
        <v>10</v>
      </c>
      <c r="I38" s="8">
        <v>0</v>
      </c>
      <c r="J38" s="8">
        <f>2*PI()*H38*I38/16</f>
        <v>0</v>
      </c>
      <c r="K38" s="8">
        <f>COS(J38)</f>
        <v>1</v>
      </c>
      <c r="L38" s="8">
        <f>SIN(J38)</f>
        <v>0</v>
      </c>
      <c r="M38" s="8" t="str">
        <f>"W" &amp; MOD(H38 * I38, 16)</f>
        <v>W0</v>
      </c>
    </row>
    <row r="39" spans="1:13" x14ac:dyDescent="0.3">
      <c r="A39" s="8">
        <v>2</v>
      </c>
      <c r="B39" s="8">
        <v>1</v>
      </c>
      <c r="C39" s="8">
        <f t="shared" ref="C39:C53" si="16">2*PI()*A39*B39/16</f>
        <v>0.78539816339744828</v>
      </c>
      <c r="D39" s="8">
        <f t="shared" ref="D39:D53" si="17">COS(C39)</f>
        <v>0.70710678118654757</v>
      </c>
      <c r="E39" s="8">
        <f t="shared" ref="E39:E53" si="18">SIN(C39)</f>
        <v>0.70710678118654746</v>
      </c>
      <c r="F39" s="8" t="str">
        <f>"W" &amp; MOD(A39 * B39, 16)</f>
        <v>W2</v>
      </c>
      <c r="H39" s="8">
        <v>10</v>
      </c>
      <c r="I39" s="8">
        <v>1</v>
      </c>
      <c r="J39" s="8">
        <f t="shared" ref="J39:J53" si="19">2*PI()*H39*I39/16</f>
        <v>3.9269908169872414</v>
      </c>
      <c r="K39" s="8">
        <f t="shared" ref="K39:K53" si="20">COS(J39)</f>
        <v>-0.70710678118654768</v>
      </c>
      <c r="L39" s="8">
        <f t="shared" ref="L39:L53" si="21">SIN(J39)</f>
        <v>-0.70710678118654746</v>
      </c>
      <c r="M39" s="8" t="str">
        <f>"W" &amp; MOD(H39 * I39, 16)</f>
        <v>W10</v>
      </c>
    </row>
    <row r="40" spans="1:13" x14ac:dyDescent="0.3">
      <c r="A40" s="8">
        <v>2</v>
      </c>
      <c r="B40" s="8">
        <v>2</v>
      </c>
      <c r="C40" s="8">
        <f t="shared" si="16"/>
        <v>1.5707963267948966</v>
      </c>
      <c r="D40" s="8">
        <f t="shared" si="17"/>
        <v>6.1257422745431001E-17</v>
      </c>
      <c r="E40" s="8">
        <f t="shared" si="18"/>
        <v>1</v>
      </c>
      <c r="F40" s="8" t="str">
        <f t="shared" ref="F40:F53" si="22">"W" &amp; MOD(A40 * B40, 16)</f>
        <v>W4</v>
      </c>
      <c r="H40" s="8">
        <v>10</v>
      </c>
      <c r="I40" s="8">
        <v>2</v>
      </c>
      <c r="J40" s="8">
        <f t="shared" si="19"/>
        <v>7.8539816339744828</v>
      </c>
      <c r="K40" s="8">
        <f t="shared" si="20"/>
        <v>3.06287113727155E-16</v>
      </c>
      <c r="L40" s="8">
        <f t="shared" si="21"/>
        <v>1</v>
      </c>
      <c r="M40" s="8" t="str">
        <f t="shared" ref="M40:M53" si="23">"W" &amp; MOD(H40 * I40, 16)</f>
        <v>W4</v>
      </c>
    </row>
    <row r="41" spans="1:13" x14ac:dyDescent="0.3">
      <c r="A41" s="8">
        <v>2</v>
      </c>
      <c r="B41" s="8">
        <v>3</v>
      </c>
      <c r="C41" s="8">
        <f t="shared" si="16"/>
        <v>2.3561944901923448</v>
      </c>
      <c r="D41" s="8">
        <f t="shared" si="17"/>
        <v>-0.70710678118654746</v>
      </c>
      <c r="E41" s="8">
        <f t="shared" si="18"/>
        <v>0.70710678118654757</v>
      </c>
      <c r="F41" s="8" t="str">
        <f t="shared" si="22"/>
        <v>W6</v>
      </c>
      <c r="H41" s="8">
        <v>10</v>
      </c>
      <c r="I41" s="8">
        <v>3</v>
      </c>
      <c r="J41" s="8">
        <f t="shared" si="19"/>
        <v>11.780972450961723</v>
      </c>
      <c r="K41" s="8">
        <f t="shared" si="20"/>
        <v>0.70710678118654657</v>
      </c>
      <c r="L41" s="8">
        <f t="shared" si="21"/>
        <v>-0.70710678118654846</v>
      </c>
      <c r="M41" s="8" t="str">
        <f t="shared" si="23"/>
        <v>W14</v>
      </c>
    </row>
    <row r="42" spans="1:13" x14ac:dyDescent="0.3">
      <c r="A42" s="8">
        <v>2</v>
      </c>
      <c r="B42" s="8">
        <v>4</v>
      </c>
      <c r="C42" s="8">
        <f t="shared" si="16"/>
        <v>3.1415926535897931</v>
      </c>
      <c r="D42" s="8">
        <f t="shared" si="17"/>
        <v>-1</v>
      </c>
      <c r="E42" s="8">
        <f t="shared" si="18"/>
        <v>1.22514845490862E-16</v>
      </c>
      <c r="F42" s="8" t="str">
        <f t="shared" si="22"/>
        <v>W8</v>
      </c>
      <c r="H42" s="8">
        <v>10</v>
      </c>
      <c r="I42" s="8">
        <v>4</v>
      </c>
      <c r="J42" s="8">
        <f t="shared" si="19"/>
        <v>15.707963267948966</v>
      </c>
      <c r="K42" s="8">
        <f t="shared" si="20"/>
        <v>-1</v>
      </c>
      <c r="L42" s="8">
        <f t="shared" si="21"/>
        <v>6.1257422745431001E-16</v>
      </c>
      <c r="M42" s="8" t="str">
        <f t="shared" si="23"/>
        <v>W8</v>
      </c>
    </row>
    <row r="43" spans="1:13" x14ac:dyDescent="0.3">
      <c r="A43" s="8">
        <v>2</v>
      </c>
      <c r="B43" s="8">
        <v>5</v>
      </c>
      <c r="C43" s="8">
        <f t="shared" si="16"/>
        <v>3.9269908169872414</v>
      </c>
      <c r="D43" s="8">
        <f t="shared" si="17"/>
        <v>-0.70710678118654768</v>
      </c>
      <c r="E43" s="8">
        <f t="shared" si="18"/>
        <v>-0.70710678118654746</v>
      </c>
      <c r="F43" s="8" t="str">
        <f t="shared" si="22"/>
        <v>W10</v>
      </c>
      <c r="H43" s="8">
        <v>10</v>
      </c>
      <c r="I43" s="8">
        <v>5</v>
      </c>
      <c r="J43" s="8">
        <f t="shared" si="19"/>
        <v>19.634954084936208</v>
      </c>
      <c r="K43" s="8">
        <f t="shared" si="20"/>
        <v>0.70710678118654746</v>
      </c>
      <c r="L43" s="8">
        <f t="shared" si="21"/>
        <v>0.70710678118654757</v>
      </c>
      <c r="M43" s="8" t="str">
        <f t="shared" si="23"/>
        <v>W2</v>
      </c>
    </row>
    <row r="44" spans="1:13" x14ac:dyDescent="0.3">
      <c r="A44" s="8">
        <v>2</v>
      </c>
      <c r="B44" s="8">
        <v>6</v>
      </c>
      <c r="C44" s="8">
        <f t="shared" si="16"/>
        <v>4.7123889803846897</v>
      </c>
      <c r="D44" s="8">
        <f t="shared" si="17"/>
        <v>-1.83772268236293E-16</v>
      </c>
      <c r="E44" s="8">
        <f t="shared" si="18"/>
        <v>-1</v>
      </c>
      <c r="F44" s="8" t="str">
        <f t="shared" si="22"/>
        <v>W12</v>
      </c>
      <c r="H44" s="8">
        <v>10</v>
      </c>
      <c r="I44" s="8">
        <v>6</v>
      </c>
      <c r="J44" s="8">
        <f t="shared" si="19"/>
        <v>23.561944901923447</v>
      </c>
      <c r="K44" s="8">
        <f t="shared" si="20"/>
        <v>-2.6952181805817155E-15</v>
      </c>
      <c r="L44" s="8">
        <f t="shared" si="21"/>
        <v>-1</v>
      </c>
      <c r="M44" s="8" t="str">
        <f t="shared" si="23"/>
        <v>W12</v>
      </c>
    </row>
    <row r="45" spans="1:13" x14ac:dyDescent="0.3">
      <c r="A45" s="8">
        <v>2</v>
      </c>
      <c r="B45" s="8">
        <v>7</v>
      </c>
      <c r="C45" s="8">
        <f t="shared" si="16"/>
        <v>5.497787143782138</v>
      </c>
      <c r="D45" s="8">
        <f t="shared" si="17"/>
        <v>0.70710678118654735</v>
      </c>
      <c r="E45" s="8">
        <f t="shared" si="18"/>
        <v>-0.70710678118654768</v>
      </c>
      <c r="F45" s="8" t="str">
        <f t="shared" si="22"/>
        <v>W14</v>
      </c>
      <c r="H45" s="8">
        <v>10</v>
      </c>
      <c r="I45" s="8">
        <v>7</v>
      </c>
      <c r="J45" s="8">
        <f t="shared" si="19"/>
        <v>27.488935718910689</v>
      </c>
      <c r="K45" s="8">
        <f t="shared" si="20"/>
        <v>-0.70710678118654613</v>
      </c>
      <c r="L45" s="8">
        <f t="shared" si="21"/>
        <v>0.70710678118654891</v>
      </c>
      <c r="M45" s="8" t="str">
        <f t="shared" si="23"/>
        <v>W6</v>
      </c>
    </row>
    <row r="46" spans="1:13" x14ac:dyDescent="0.3">
      <c r="A46" s="8">
        <v>2</v>
      </c>
      <c r="B46" s="8">
        <v>8</v>
      </c>
      <c r="C46" s="8">
        <f t="shared" si="16"/>
        <v>6.2831853071795862</v>
      </c>
      <c r="D46" s="8">
        <f t="shared" si="17"/>
        <v>1</v>
      </c>
      <c r="E46" s="8">
        <f t="shared" si="18"/>
        <v>-2.45029690981724E-16</v>
      </c>
      <c r="F46" s="8" t="str">
        <f t="shared" si="22"/>
        <v>W0</v>
      </c>
      <c r="H46" s="8">
        <v>10</v>
      </c>
      <c r="I46" s="8">
        <v>8</v>
      </c>
      <c r="J46" s="8">
        <f t="shared" si="19"/>
        <v>31.415926535897931</v>
      </c>
      <c r="K46" s="8">
        <f t="shared" si="20"/>
        <v>1</v>
      </c>
      <c r="L46" s="8">
        <f t="shared" si="21"/>
        <v>-1.22514845490862E-15</v>
      </c>
      <c r="M46" s="8" t="str">
        <f t="shared" si="23"/>
        <v>W0</v>
      </c>
    </row>
    <row r="47" spans="1:13" x14ac:dyDescent="0.3">
      <c r="A47" s="8">
        <v>2</v>
      </c>
      <c r="B47" s="8">
        <v>9</v>
      </c>
      <c r="C47" s="8">
        <f t="shared" si="16"/>
        <v>7.0685834705770345</v>
      </c>
      <c r="D47" s="8">
        <f t="shared" si="17"/>
        <v>0.70710678118654768</v>
      </c>
      <c r="E47" s="8">
        <f t="shared" si="18"/>
        <v>0.70710678118654735</v>
      </c>
      <c r="F47" s="8" t="str">
        <f t="shared" si="22"/>
        <v>W2</v>
      </c>
      <c r="H47" s="8">
        <v>10</v>
      </c>
      <c r="I47" s="8">
        <v>9</v>
      </c>
      <c r="J47" s="8">
        <f t="shared" si="19"/>
        <v>35.342917352885173</v>
      </c>
      <c r="K47" s="8">
        <f t="shared" si="20"/>
        <v>-0.70710678118654791</v>
      </c>
      <c r="L47" s="8">
        <f t="shared" si="21"/>
        <v>-0.70710678118654713</v>
      </c>
      <c r="M47" s="8" t="str">
        <f t="shared" si="23"/>
        <v>W10</v>
      </c>
    </row>
    <row r="48" spans="1:13" x14ac:dyDescent="0.3">
      <c r="A48" s="8">
        <v>2</v>
      </c>
      <c r="B48" s="8">
        <v>10</v>
      </c>
      <c r="C48" s="8">
        <f t="shared" si="16"/>
        <v>7.8539816339744828</v>
      </c>
      <c r="D48" s="8">
        <f t="shared" si="17"/>
        <v>3.06287113727155E-16</v>
      </c>
      <c r="E48" s="8">
        <f t="shared" si="18"/>
        <v>1</v>
      </c>
      <c r="F48" s="8" t="str">
        <f t="shared" si="22"/>
        <v>W4</v>
      </c>
      <c r="H48" s="8">
        <v>10</v>
      </c>
      <c r="I48" s="8">
        <v>10</v>
      </c>
      <c r="J48" s="8">
        <f t="shared" si="19"/>
        <v>39.269908169872416</v>
      </c>
      <c r="K48" s="8">
        <f t="shared" si="20"/>
        <v>-2.4492127076447545E-16</v>
      </c>
      <c r="L48" s="8">
        <f t="shared" si="21"/>
        <v>1</v>
      </c>
      <c r="M48" s="8" t="str">
        <f t="shared" si="23"/>
        <v>W4</v>
      </c>
    </row>
    <row r="49" spans="1:13" x14ac:dyDescent="0.3">
      <c r="A49" s="8">
        <v>2</v>
      </c>
      <c r="B49" s="8">
        <v>11</v>
      </c>
      <c r="C49" s="8">
        <f t="shared" si="16"/>
        <v>8.6393797973719302</v>
      </c>
      <c r="D49" s="8">
        <f t="shared" si="17"/>
        <v>-0.70710678118654668</v>
      </c>
      <c r="E49" s="8">
        <f t="shared" si="18"/>
        <v>0.70710678118654835</v>
      </c>
      <c r="F49" s="8" t="str">
        <f t="shared" si="22"/>
        <v>W6</v>
      </c>
      <c r="H49" s="8">
        <v>10</v>
      </c>
      <c r="I49" s="8">
        <v>11</v>
      </c>
      <c r="J49" s="8">
        <f t="shared" si="19"/>
        <v>43.196898986859658</v>
      </c>
      <c r="K49" s="8">
        <f t="shared" si="20"/>
        <v>0.70710678118654824</v>
      </c>
      <c r="L49" s="8">
        <f t="shared" si="21"/>
        <v>-0.7071067811865468</v>
      </c>
      <c r="M49" s="8" t="str">
        <f t="shared" si="23"/>
        <v>W14</v>
      </c>
    </row>
    <row r="50" spans="1:13" x14ac:dyDescent="0.3">
      <c r="A50" s="8">
        <v>2</v>
      </c>
      <c r="B50" s="8">
        <v>12</v>
      </c>
      <c r="C50" s="8">
        <f t="shared" si="16"/>
        <v>9.4247779607693793</v>
      </c>
      <c r="D50" s="8">
        <f t="shared" si="17"/>
        <v>-1</v>
      </c>
      <c r="E50" s="8">
        <f t="shared" si="18"/>
        <v>3.67544536472586E-16</v>
      </c>
      <c r="F50" s="8" t="str">
        <f t="shared" si="22"/>
        <v>W8</v>
      </c>
      <c r="H50" s="8">
        <v>10</v>
      </c>
      <c r="I50" s="8">
        <v>12</v>
      </c>
      <c r="J50" s="8">
        <f t="shared" si="19"/>
        <v>47.123889803846893</v>
      </c>
      <c r="K50" s="8">
        <f t="shared" si="20"/>
        <v>-1</v>
      </c>
      <c r="L50" s="8">
        <f t="shared" si="21"/>
        <v>5.3904363611634309E-15</v>
      </c>
      <c r="M50" s="8" t="str">
        <f t="shared" si="23"/>
        <v>W8</v>
      </c>
    </row>
    <row r="51" spans="1:13" x14ac:dyDescent="0.3">
      <c r="A51" s="8">
        <v>2</v>
      </c>
      <c r="B51" s="8">
        <v>13</v>
      </c>
      <c r="C51" s="8">
        <f t="shared" si="16"/>
        <v>10.210176124166829</v>
      </c>
      <c r="D51" s="8">
        <f t="shared" si="17"/>
        <v>-0.70710678118654713</v>
      </c>
      <c r="E51" s="8">
        <f t="shared" si="18"/>
        <v>-0.70710678118654791</v>
      </c>
      <c r="F51" s="8" t="str">
        <f t="shared" si="22"/>
        <v>W10</v>
      </c>
      <c r="H51" s="8">
        <v>10</v>
      </c>
      <c r="I51" s="8">
        <v>13</v>
      </c>
      <c r="J51" s="8">
        <f t="shared" si="19"/>
        <v>51.050880620834135</v>
      </c>
      <c r="K51" s="8">
        <f t="shared" si="20"/>
        <v>0.70710678118655079</v>
      </c>
      <c r="L51" s="8">
        <f t="shared" si="21"/>
        <v>0.70710678118654424</v>
      </c>
      <c r="M51" s="8" t="str">
        <f t="shared" si="23"/>
        <v>W2</v>
      </c>
    </row>
    <row r="52" spans="1:13" x14ac:dyDescent="0.3">
      <c r="A52" s="8">
        <v>2</v>
      </c>
      <c r="B52" s="8">
        <v>14</v>
      </c>
      <c r="C52" s="8">
        <f t="shared" si="16"/>
        <v>10.995574287564276</v>
      </c>
      <c r="D52" s="8">
        <f t="shared" si="17"/>
        <v>-4.28801959218017E-16</v>
      </c>
      <c r="E52" s="8">
        <f t="shared" si="18"/>
        <v>-1</v>
      </c>
      <c r="F52" s="8" t="str">
        <f t="shared" si="22"/>
        <v>W12</v>
      </c>
      <c r="H52" s="8">
        <v>10</v>
      </c>
      <c r="I52" s="8">
        <v>14</v>
      </c>
      <c r="J52" s="8">
        <f t="shared" si="19"/>
        <v>54.977871437821378</v>
      </c>
      <c r="K52" s="8">
        <f t="shared" si="20"/>
        <v>-3.9203666354903355E-15</v>
      </c>
      <c r="L52" s="8">
        <f t="shared" si="21"/>
        <v>-1</v>
      </c>
      <c r="M52" s="8" t="str">
        <f t="shared" si="23"/>
        <v>W12</v>
      </c>
    </row>
    <row r="53" spans="1:13" x14ac:dyDescent="0.3">
      <c r="A53" s="8">
        <v>2</v>
      </c>
      <c r="B53" s="8">
        <v>15</v>
      </c>
      <c r="C53" s="8">
        <f t="shared" si="16"/>
        <v>11.780972450961723</v>
      </c>
      <c r="D53" s="8">
        <f t="shared" si="17"/>
        <v>0.70710678118654657</v>
      </c>
      <c r="E53" s="8">
        <f t="shared" si="18"/>
        <v>-0.70710678118654846</v>
      </c>
      <c r="F53" s="8" t="str">
        <f t="shared" si="22"/>
        <v>W14</v>
      </c>
      <c r="H53" s="8">
        <v>10</v>
      </c>
      <c r="I53" s="8">
        <v>15</v>
      </c>
      <c r="J53" s="8">
        <f t="shared" si="19"/>
        <v>58.90486225480862</v>
      </c>
      <c r="K53" s="8">
        <f t="shared" si="20"/>
        <v>-0.70710678118654524</v>
      </c>
      <c r="L53" s="8">
        <f t="shared" si="21"/>
        <v>0.70710678118654979</v>
      </c>
      <c r="M53" s="8" t="str">
        <f t="shared" si="23"/>
        <v>W6</v>
      </c>
    </row>
    <row r="55" spans="1:13" s="7" customFormat="1" x14ac:dyDescent="0.3">
      <c r="A55" s="7" t="s">
        <v>27</v>
      </c>
      <c r="B55" s="7" t="s">
        <v>21</v>
      </c>
      <c r="C55" s="7" t="s">
        <v>22</v>
      </c>
      <c r="D55" s="7" t="s">
        <v>23</v>
      </c>
      <c r="E55" s="7" t="s">
        <v>24</v>
      </c>
      <c r="H55" s="7" t="s">
        <v>35</v>
      </c>
      <c r="I55" s="7" t="s">
        <v>21</v>
      </c>
      <c r="J55" s="7" t="s">
        <v>22</v>
      </c>
      <c r="K55" s="7" t="s">
        <v>23</v>
      </c>
      <c r="L55" s="7" t="s">
        <v>24</v>
      </c>
    </row>
    <row r="56" spans="1:13" x14ac:dyDescent="0.3">
      <c r="A56" s="8">
        <v>3</v>
      </c>
      <c r="B56" s="8">
        <v>0</v>
      </c>
      <c r="C56" s="8">
        <f>2*PI()*A56*B56/16</f>
        <v>0</v>
      </c>
      <c r="D56" s="8">
        <f>COS(C56)</f>
        <v>1</v>
      </c>
      <c r="E56" s="8">
        <f>SIN(C56)</f>
        <v>0</v>
      </c>
      <c r="F56" s="8" t="str">
        <f>"W" &amp; MOD(A56 * B56, 16)</f>
        <v>W0</v>
      </c>
      <c r="H56" s="8">
        <v>11</v>
      </c>
      <c r="I56" s="8">
        <v>0</v>
      </c>
      <c r="J56" s="8">
        <f>2*PI()*H56*I56/16</f>
        <v>0</v>
      </c>
      <c r="K56" s="8">
        <f>COS(J56)</f>
        <v>1</v>
      </c>
      <c r="L56" s="8">
        <f>SIN(J56)</f>
        <v>0</v>
      </c>
      <c r="M56" s="8" t="str">
        <f>"W" &amp; MOD(H56 * I56, 16)</f>
        <v>W0</v>
      </c>
    </row>
    <row r="57" spans="1:13" x14ac:dyDescent="0.3">
      <c r="A57" s="8">
        <v>3</v>
      </c>
      <c r="B57" s="8">
        <v>1</v>
      </c>
      <c r="C57" s="8">
        <f t="shared" ref="C57:C71" si="24">2*PI()*A57*B57/16</f>
        <v>1.1780972450961724</v>
      </c>
      <c r="D57" s="8">
        <f t="shared" ref="D57:D71" si="25">COS(C57)</f>
        <v>0.38268343236508984</v>
      </c>
      <c r="E57" s="8">
        <f t="shared" ref="E57:E71" si="26">SIN(C57)</f>
        <v>0.92387953251128674</v>
      </c>
      <c r="F57" s="8" t="str">
        <f>"W" &amp; MOD(A57 * B57, 16)</f>
        <v>W3</v>
      </c>
      <c r="H57" s="8">
        <v>11</v>
      </c>
      <c r="I57" s="8">
        <v>1</v>
      </c>
      <c r="J57" s="8">
        <f t="shared" ref="J57:J71" si="27">2*PI()*H57*I57/16</f>
        <v>4.3196898986859651</v>
      </c>
      <c r="K57" s="8">
        <f t="shared" ref="K57:K71" si="28">COS(J57)</f>
        <v>-0.38268343236509034</v>
      </c>
      <c r="L57" s="8">
        <f t="shared" ref="L57:L71" si="29">SIN(J57)</f>
        <v>-0.92387953251128652</v>
      </c>
      <c r="M57" s="8" t="str">
        <f>"W" &amp; MOD(H57 * I57, 16)</f>
        <v>W11</v>
      </c>
    </row>
    <row r="58" spans="1:13" x14ac:dyDescent="0.3">
      <c r="A58" s="8">
        <v>3</v>
      </c>
      <c r="B58" s="8">
        <v>2</v>
      </c>
      <c r="C58" s="8">
        <f t="shared" si="24"/>
        <v>2.3561944901923448</v>
      </c>
      <c r="D58" s="8">
        <f t="shared" si="25"/>
        <v>-0.70710678118654746</v>
      </c>
      <c r="E58" s="8">
        <f t="shared" si="26"/>
        <v>0.70710678118654757</v>
      </c>
      <c r="F58" s="8" t="str">
        <f t="shared" ref="F58:F71" si="30">"W" &amp; MOD(A58 * B58, 16)</f>
        <v>W6</v>
      </c>
      <c r="H58" s="8">
        <v>11</v>
      </c>
      <c r="I58" s="8">
        <v>2</v>
      </c>
      <c r="J58" s="8">
        <f t="shared" si="27"/>
        <v>8.6393797973719302</v>
      </c>
      <c r="K58" s="8">
        <f t="shared" si="28"/>
        <v>-0.70710678118654668</v>
      </c>
      <c r="L58" s="8">
        <f t="shared" si="29"/>
        <v>0.70710678118654835</v>
      </c>
      <c r="M58" s="8" t="str">
        <f t="shared" ref="M58:M71" si="31">"W" &amp; MOD(H58 * I58, 16)</f>
        <v>W6</v>
      </c>
    </row>
    <row r="59" spans="1:13" x14ac:dyDescent="0.3">
      <c r="A59" s="8">
        <v>3</v>
      </c>
      <c r="B59" s="8">
        <v>3</v>
      </c>
      <c r="C59" s="8">
        <f t="shared" si="24"/>
        <v>3.5342917352885173</v>
      </c>
      <c r="D59" s="8">
        <f t="shared" si="25"/>
        <v>-0.92387953251128685</v>
      </c>
      <c r="E59" s="8">
        <f t="shared" si="26"/>
        <v>-0.38268343236508967</v>
      </c>
      <c r="F59" s="8" t="str">
        <f t="shared" si="30"/>
        <v>W9</v>
      </c>
      <c r="H59" s="8">
        <v>11</v>
      </c>
      <c r="I59" s="8">
        <v>3</v>
      </c>
      <c r="J59" s="8">
        <f t="shared" si="27"/>
        <v>12.959069696057895</v>
      </c>
      <c r="K59" s="8">
        <f t="shared" si="28"/>
        <v>0.9238795325112874</v>
      </c>
      <c r="L59" s="8">
        <f t="shared" si="29"/>
        <v>0.38268343236508806</v>
      </c>
      <c r="M59" s="8" t="str">
        <f t="shared" si="31"/>
        <v>W1</v>
      </c>
    </row>
    <row r="60" spans="1:13" x14ac:dyDescent="0.3">
      <c r="A60" s="8">
        <v>3</v>
      </c>
      <c r="B60" s="8">
        <v>4</v>
      </c>
      <c r="C60" s="8">
        <f t="shared" si="24"/>
        <v>4.7123889803846897</v>
      </c>
      <c r="D60" s="8">
        <f t="shared" si="25"/>
        <v>-1.83772268236293E-16</v>
      </c>
      <c r="E60" s="8">
        <f t="shared" si="26"/>
        <v>-1</v>
      </c>
      <c r="F60" s="8" t="str">
        <f t="shared" si="30"/>
        <v>W12</v>
      </c>
      <c r="H60" s="8">
        <v>11</v>
      </c>
      <c r="I60" s="8">
        <v>4</v>
      </c>
      <c r="J60" s="8">
        <f t="shared" si="27"/>
        <v>17.27875959474386</v>
      </c>
      <c r="K60" s="8">
        <f t="shared" si="28"/>
        <v>-2.4501884895999915E-15</v>
      </c>
      <c r="L60" s="8">
        <f t="shared" si="29"/>
        <v>-1</v>
      </c>
      <c r="M60" s="8" t="str">
        <f t="shared" si="31"/>
        <v>W12</v>
      </c>
    </row>
    <row r="61" spans="1:13" x14ac:dyDescent="0.3">
      <c r="A61" s="8">
        <v>3</v>
      </c>
      <c r="B61" s="8">
        <v>5</v>
      </c>
      <c r="C61" s="8">
        <f t="shared" si="24"/>
        <v>5.8904862254808616</v>
      </c>
      <c r="D61" s="8">
        <f t="shared" si="25"/>
        <v>0.92387953251128652</v>
      </c>
      <c r="E61" s="8">
        <f t="shared" si="26"/>
        <v>-0.38268343236509039</v>
      </c>
      <c r="F61" s="8" t="str">
        <f t="shared" si="30"/>
        <v>W15</v>
      </c>
      <c r="H61" s="8">
        <v>11</v>
      </c>
      <c r="I61" s="8">
        <v>5</v>
      </c>
      <c r="J61" s="8">
        <f t="shared" si="27"/>
        <v>21.598449493429825</v>
      </c>
      <c r="K61" s="8">
        <f t="shared" si="28"/>
        <v>-0.92387953251128563</v>
      </c>
      <c r="L61" s="8">
        <f t="shared" si="29"/>
        <v>0.38268343236509261</v>
      </c>
      <c r="M61" s="8" t="str">
        <f t="shared" si="31"/>
        <v>W7</v>
      </c>
    </row>
    <row r="62" spans="1:13" x14ac:dyDescent="0.3">
      <c r="A62" s="8">
        <v>3</v>
      </c>
      <c r="B62" s="8">
        <v>6</v>
      </c>
      <c r="C62" s="8">
        <f t="shared" si="24"/>
        <v>7.0685834705770345</v>
      </c>
      <c r="D62" s="8">
        <f t="shared" si="25"/>
        <v>0.70710678118654768</v>
      </c>
      <c r="E62" s="8">
        <f t="shared" si="26"/>
        <v>0.70710678118654735</v>
      </c>
      <c r="F62" s="8" t="str">
        <f t="shared" si="30"/>
        <v>W2</v>
      </c>
      <c r="H62" s="8">
        <v>11</v>
      </c>
      <c r="I62" s="8">
        <v>6</v>
      </c>
      <c r="J62" s="8">
        <f t="shared" si="27"/>
        <v>25.918139392115791</v>
      </c>
      <c r="K62" s="8">
        <f t="shared" si="28"/>
        <v>0.70710678118655013</v>
      </c>
      <c r="L62" s="8">
        <f t="shared" si="29"/>
        <v>0.70710678118654491</v>
      </c>
      <c r="M62" s="8" t="str">
        <f t="shared" si="31"/>
        <v>W2</v>
      </c>
    </row>
    <row r="63" spans="1:13" x14ac:dyDescent="0.3">
      <c r="A63" s="8">
        <v>3</v>
      </c>
      <c r="B63" s="8">
        <v>7</v>
      </c>
      <c r="C63" s="8">
        <f t="shared" si="24"/>
        <v>8.2466807156732074</v>
      </c>
      <c r="D63" s="8">
        <f t="shared" si="25"/>
        <v>-0.38268343236508989</v>
      </c>
      <c r="E63" s="8">
        <f t="shared" si="26"/>
        <v>0.92387953251128674</v>
      </c>
      <c r="F63" s="8" t="str">
        <f t="shared" si="30"/>
        <v>W5</v>
      </c>
      <c r="H63" s="8">
        <v>11</v>
      </c>
      <c r="I63" s="8">
        <v>7</v>
      </c>
      <c r="J63" s="8">
        <f t="shared" si="27"/>
        <v>30.237829290801756</v>
      </c>
      <c r="K63" s="8">
        <f t="shared" si="28"/>
        <v>0.38268343236508578</v>
      </c>
      <c r="L63" s="8">
        <f t="shared" si="29"/>
        <v>-0.9238795325112884</v>
      </c>
      <c r="M63" s="8" t="str">
        <f t="shared" si="31"/>
        <v>W13</v>
      </c>
    </row>
    <row r="64" spans="1:13" x14ac:dyDescent="0.3">
      <c r="A64" s="8">
        <v>3</v>
      </c>
      <c r="B64" s="8">
        <v>8</v>
      </c>
      <c r="C64" s="8">
        <f t="shared" si="24"/>
        <v>9.4247779607693793</v>
      </c>
      <c r="D64" s="8">
        <f t="shared" si="25"/>
        <v>-1</v>
      </c>
      <c r="E64" s="8">
        <f t="shared" si="26"/>
        <v>3.67544536472586E-16</v>
      </c>
      <c r="F64" s="8" t="str">
        <f t="shared" si="30"/>
        <v>W8</v>
      </c>
      <c r="H64" s="8">
        <v>11</v>
      </c>
      <c r="I64" s="8">
        <v>8</v>
      </c>
      <c r="J64" s="8">
        <f t="shared" si="27"/>
        <v>34.557519189487721</v>
      </c>
      <c r="K64" s="8">
        <f t="shared" si="28"/>
        <v>-1</v>
      </c>
      <c r="L64" s="8">
        <f t="shared" si="29"/>
        <v>4.9003769791999829E-15</v>
      </c>
      <c r="M64" s="8" t="str">
        <f t="shared" si="31"/>
        <v>W8</v>
      </c>
    </row>
    <row r="65" spans="1:13" x14ac:dyDescent="0.3">
      <c r="A65" s="8">
        <v>3</v>
      </c>
      <c r="B65" s="8">
        <v>9</v>
      </c>
      <c r="C65" s="8">
        <f t="shared" si="24"/>
        <v>10.602875205865551</v>
      </c>
      <c r="D65" s="8">
        <f t="shared" si="25"/>
        <v>-0.38268343236509056</v>
      </c>
      <c r="E65" s="8">
        <f t="shared" si="26"/>
        <v>-0.92387953251128641</v>
      </c>
      <c r="F65" s="8" t="str">
        <f t="shared" si="30"/>
        <v>W11</v>
      </c>
      <c r="H65" s="8">
        <v>11</v>
      </c>
      <c r="I65" s="8">
        <v>9</v>
      </c>
      <c r="J65" s="8">
        <f t="shared" si="27"/>
        <v>38.877209088173686</v>
      </c>
      <c r="K65" s="8">
        <f t="shared" si="28"/>
        <v>0.38268343236509489</v>
      </c>
      <c r="L65" s="8">
        <f t="shared" si="29"/>
        <v>0.92387953251128463</v>
      </c>
      <c r="M65" s="8" t="str">
        <f t="shared" si="31"/>
        <v>W3</v>
      </c>
    </row>
    <row r="66" spans="1:13" x14ac:dyDescent="0.3">
      <c r="A66" s="8">
        <v>3</v>
      </c>
      <c r="B66" s="8">
        <v>10</v>
      </c>
      <c r="C66" s="8">
        <f t="shared" si="24"/>
        <v>11.780972450961723</v>
      </c>
      <c r="D66" s="8">
        <f t="shared" si="25"/>
        <v>0.70710678118654657</v>
      </c>
      <c r="E66" s="8">
        <f t="shared" si="26"/>
        <v>-0.70710678118654846</v>
      </c>
      <c r="F66" s="8" t="str">
        <f t="shared" si="30"/>
        <v>W14</v>
      </c>
      <c r="H66" s="8">
        <v>11</v>
      </c>
      <c r="I66" s="8">
        <v>10</v>
      </c>
      <c r="J66" s="8">
        <f t="shared" si="27"/>
        <v>43.196898986859651</v>
      </c>
      <c r="K66" s="8">
        <f t="shared" si="28"/>
        <v>0.70710678118654324</v>
      </c>
      <c r="L66" s="8">
        <f t="shared" si="29"/>
        <v>-0.7071067811865519</v>
      </c>
      <c r="M66" s="8" t="str">
        <f t="shared" si="31"/>
        <v>W14</v>
      </c>
    </row>
    <row r="67" spans="1:13" x14ac:dyDescent="0.3">
      <c r="A67" s="8">
        <v>3</v>
      </c>
      <c r="B67" s="8">
        <v>11</v>
      </c>
      <c r="C67" s="8">
        <f t="shared" si="24"/>
        <v>12.959069696057897</v>
      </c>
      <c r="D67" s="8">
        <f t="shared" si="25"/>
        <v>0.92387953251128674</v>
      </c>
      <c r="E67" s="8">
        <f t="shared" si="26"/>
        <v>0.38268343236508973</v>
      </c>
      <c r="F67" s="8" t="str">
        <f t="shared" si="30"/>
        <v>W1</v>
      </c>
      <c r="H67" s="8">
        <v>11</v>
      </c>
      <c r="I67" s="8">
        <v>11</v>
      </c>
      <c r="J67" s="8">
        <f t="shared" si="27"/>
        <v>47.516588885545616</v>
      </c>
      <c r="K67" s="8">
        <f t="shared" si="28"/>
        <v>-0.92387953251128929</v>
      </c>
      <c r="L67" s="8">
        <f t="shared" si="29"/>
        <v>-0.38268343236508356</v>
      </c>
      <c r="M67" s="8" t="str">
        <f t="shared" si="31"/>
        <v>W9</v>
      </c>
    </row>
    <row r="68" spans="1:13" x14ac:dyDescent="0.3">
      <c r="A68" s="8">
        <v>3</v>
      </c>
      <c r="B68" s="8">
        <v>12</v>
      </c>
      <c r="C68" s="8">
        <f t="shared" si="24"/>
        <v>14.137166941154069</v>
      </c>
      <c r="D68" s="8">
        <f t="shared" si="25"/>
        <v>5.51316804708879E-16</v>
      </c>
      <c r="E68" s="8">
        <f t="shared" si="26"/>
        <v>1</v>
      </c>
      <c r="F68" s="8" t="str">
        <f t="shared" si="30"/>
        <v>W4</v>
      </c>
      <c r="H68" s="8">
        <v>11</v>
      </c>
      <c r="I68" s="8">
        <v>12</v>
      </c>
      <c r="J68" s="8">
        <f t="shared" si="27"/>
        <v>51.836278784231581</v>
      </c>
      <c r="K68" s="8">
        <f t="shared" si="28"/>
        <v>7.3505654687999744E-15</v>
      </c>
      <c r="L68" s="8">
        <f t="shared" si="29"/>
        <v>1</v>
      </c>
      <c r="M68" s="8" t="str">
        <f t="shared" si="31"/>
        <v>W4</v>
      </c>
    </row>
    <row r="69" spans="1:13" x14ac:dyDescent="0.3">
      <c r="A69" s="8">
        <v>3</v>
      </c>
      <c r="B69" s="8">
        <v>13</v>
      </c>
      <c r="C69" s="8">
        <f t="shared" si="24"/>
        <v>15.315264186250241</v>
      </c>
      <c r="D69" s="8">
        <f t="shared" si="25"/>
        <v>-0.92387953251128641</v>
      </c>
      <c r="E69" s="8">
        <f t="shared" si="26"/>
        <v>0.38268343236509073</v>
      </c>
      <c r="F69" s="8" t="str">
        <f t="shared" si="30"/>
        <v>W7</v>
      </c>
      <c r="H69" s="8">
        <v>11</v>
      </c>
      <c r="I69" s="8">
        <v>13</v>
      </c>
      <c r="J69" s="8">
        <f t="shared" si="27"/>
        <v>56.155968682917546</v>
      </c>
      <c r="K69" s="8">
        <f t="shared" si="28"/>
        <v>0.92387953251128374</v>
      </c>
      <c r="L69" s="8">
        <f t="shared" si="29"/>
        <v>-0.38268343236509711</v>
      </c>
      <c r="M69" s="8" t="str">
        <f t="shared" si="31"/>
        <v>W15</v>
      </c>
    </row>
    <row r="70" spans="1:13" x14ac:dyDescent="0.3">
      <c r="A70" s="8">
        <v>3</v>
      </c>
      <c r="B70" s="8">
        <v>14</v>
      </c>
      <c r="C70" s="8">
        <f t="shared" si="24"/>
        <v>16.493361431346415</v>
      </c>
      <c r="D70" s="8">
        <f t="shared" si="25"/>
        <v>-0.70710678118654735</v>
      </c>
      <c r="E70" s="8">
        <f t="shared" si="26"/>
        <v>-0.70710678118654768</v>
      </c>
      <c r="F70" s="8" t="str">
        <f t="shared" si="30"/>
        <v>W10</v>
      </c>
      <c r="H70" s="8">
        <v>11</v>
      </c>
      <c r="I70" s="8">
        <v>14</v>
      </c>
      <c r="J70" s="8">
        <f t="shared" si="27"/>
        <v>60.475658581603511</v>
      </c>
      <c r="K70" s="8">
        <f t="shared" si="28"/>
        <v>-0.70710678118655357</v>
      </c>
      <c r="L70" s="8">
        <f t="shared" si="29"/>
        <v>-0.70710678118654147</v>
      </c>
      <c r="M70" s="8" t="str">
        <f t="shared" si="31"/>
        <v>W10</v>
      </c>
    </row>
    <row r="71" spans="1:13" x14ac:dyDescent="0.3">
      <c r="A71" s="8">
        <v>3</v>
      </c>
      <c r="B71" s="8">
        <v>15</v>
      </c>
      <c r="C71" s="8">
        <f t="shared" si="24"/>
        <v>17.671458676442587</v>
      </c>
      <c r="D71" s="8">
        <f t="shared" si="25"/>
        <v>0.38268343236508956</v>
      </c>
      <c r="E71" s="8">
        <f t="shared" si="26"/>
        <v>-0.92387953251128685</v>
      </c>
      <c r="F71" s="8" t="str">
        <f t="shared" si="30"/>
        <v>W13</v>
      </c>
      <c r="H71" s="8">
        <v>11</v>
      </c>
      <c r="I71" s="8">
        <v>15</v>
      </c>
      <c r="J71" s="8">
        <f t="shared" si="27"/>
        <v>64.795348480289476</v>
      </c>
      <c r="K71" s="8">
        <f t="shared" si="28"/>
        <v>-0.38268343236508129</v>
      </c>
      <c r="L71" s="8">
        <f t="shared" si="29"/>
        <v>0.92387953251129029</v>
      </c>
      <c r="M71" s="8" t="str">
        <f t="shared" si="31"/>
        <v>W5</v>
      </c>
    </row>
    <row r="73" spans="1:13" s="7" customFormat="1" x14ac:dyDescent="0.3">
      <c r="A73" s="7" t="s">
        <v>28</v>
      </c>
      <c r="B73" s="7" t="s">
        <v>21</v>
      </c>
      <c r="C73" s="7" t="s">
        <v>22</v>
      </c>
      <c r="D73" s="7" t="s">
        <v>23</v>
      </c>
      <c r="E73" s="7" t="s">
        <v>24</v>
      </c>
      <c r="H73" s="7" t="s">
        <v>36</v>
      </c>
      <c r="I73" s="7" t="s">
        <v>21</v>
      </c>
      <c r="J73" s="7" t="s">
        <v>22</v>
      </c>
      <c r="K73" s="7" t="s">
        <v>23</v>
      </c>
      <c r="L73" s="7" t="s">
        <v>24</v>
      </c>
    </row>
    <row r="74" spans="1:13" x14ac:dyDescent="0.3">
      <c r="A74" s="8">
        <v>4</v>
      </c>
      <c r="B74" s="8">
        <v>0</v>
      </c>
      <c r="C74" s="8">
        <f>2*PI()*A74*B74/16</f>
        <v>0</v>
      </c>
      <c r="D74" s="8">
        <f>COS(C74)</f>
        <v>1</v>
      </c>
      <c r="E74" s="8">
        <f>SIN(C74)</f>
        <v>0</v>
      </c>
      <c r="F74" s="8" t="str">
        <f>"W" &amp; MOD(A74 * B74, 16)</f>
        <v>W0</v>
      </c>
      <c r="H74" s="8">
        <v>12</v>
      </c>
      <c r="I74" s="8">
        <v>0</v>
      </c>
      <c r="J74" s="8">
        <f>2*PI()*H74*I74/16</f>
        <v>0</v>
      </c>
      <c r="K74" s="8">
        <f>COS(J74)</f>
        <v>1</v>
      </c>
      <c r="L74" s="8">
        <f>SIN(J74)</f>
        <v>0</v>
      </c>
      <c r="M74" s="8" t="str">
        <f>"W" &amp; MOD(H74 * I74, 16)</f>
        <v>W0</v>
      </c>
    </row>
    <row r="75" spans="1:13" x14ac:dyDescent="0.3">
      <c r="A75" s="8">
        <v>4</v>
      </c>
      <c r="B75" s="8">
        <v>1</v>
      </c>
      <c r="C75" s="8">
        <f t="shared" ref="C75:C89" si="32">2*PI()*A75*B75/16</f>
        <v>1.5707963267948966</v>
      </c>
      <c r="D75" s="8">
        <f t="shared" ref="D75:D89" si="33">COS(C75)</f>
        <v>6.1257422745431001E-17</v>
      </c>
      <c r="E75" s="8">
        <f t="shared" ref="E75:E89" si="34">SIN(C75)</f>
        <v>1</v>
      </c>
      <c r="F75" s="8" t="str">
        <f>"W" &amp; MOD(A75 * B75, 16)</f>
        <v>W4</v>
      </c>
      <c r="H75" s="8">
        <v>12</v>
      </c>
      <c r="I75" s="8">
        <v>1</v>
      </c>
      <c r="J75" s="8">
        <f t="shared" ref="J75:J89" si="35">2*PI()*H75*I75/16</f>
        <v>4.7123889803846897</v>
      </c>
      <c r="K75" s="8">
        <f t="shared" ref="K75:K89" si="36">COS(J75)</f>
        <v>-1.83772268236293E-16</v>
      </c>
      <c r="L75" s="8">
        <f t="shared" ref="L75:L89" si="37">SIN(J75)</f>
        <v>-1</v>
      </c>
      <c r="M75" s="8" t="str">
        <f>"W" &amp; MOD(H75 * I75, 16)</f>
        <v>W12</v>
      </c>
    </row>
    <row r="76" spans="1:13" x14ac:dyDescent="0.3">
      <c r="A76" s="8">
        <v>4</v>
      </c>
      <c r="B76" s="8">
        <v>2</v>
      </c>
      <c r="C76" s="8">
        <f t="shared" si="32"/>
        <v>3.1415926535897931</v>
      </c>
      <c r="D76" s="8">
        <f t="shared" si="33"/>
        <v>-1</v>
      </c>
      <c r="E76" s="8">
        <f t="shared" si="34"/>
        <v>1.22514845490862E-16</v>
      </c>
      <c r="F76" s="8" t="str">
        <f t="shared" ref="F76:F89" si="38">"W" &amp; MOD(A76 * B76, 16)</f>
        <v>W8</v>
      </c>
      <c r="H76" s="8">
        <v>12</v>
      </c>
      <c r="I76" s="8">
        <v>2</v>
      </c>
      <c r="J76" s="8">
        <f t="shared" si="35"/>
        <v>9.4247779607693793</v>
      </c>
      <c r="K76" s="8">
        <f t="shared" si="36"/>
        <v>-1</v>
      </c>
      <c r="L76" s="8">
        <f t="shared" si="37"/>
        <v>3.67544536472586E-16</v>
      </c>
      <c r="M76" s="8" t="str">
        <f t="shared" ref="M76:M89" si="39">"W" &amp; MOD(H76 * I76, 16)</f>
        <v>W8</v>
      </c>
    </row>
    <row r="77" spans="1:13" x14ac:dyDescent="0.3">
      <c r="A77" s="8">
        <v>4</v>
      </c>
      <c r="B77" s="8">
        <v>3</v>
      </c>
      <c r="C77" s="8">
        <f t="shared" si="32"/>
        <v>4.7123889803846897</v>
      </c>
      <c r="D77" s="8">
        <f t="shared" si="33"/>
        <v>-1.83772268236293E-16</v>
      </c>
      <c r="E77" s="8">
        <f t="shared" si="34"/>
        <v>-1</v>
      </c>
      <c r="F77" s="8" t="str">
        <f t="shared" si="38"/>
        <v>W12</v>
      </c>
      <c r="H77" s="8">
        <v>12</v>
      </c>
      <c r="I77" s="8">
        <v>3</v>
      </c>
      <c r="J77" s="8">
        <f t="shared" si="35"/>
        <v>14.137166941154069</v>
      </c>
      <c r="K77" s="8">
        <f t="shared" si="36"/>
        <v>5.51316804708879E-16</v>
      </c>
      <c r="L77" s="8">
        <f t="shared" si="37"/>
        <v>1</v>
      </c>
      <c r="M77" s="8" t="str">
        <f t="shared" si="39"/>
        <v>W4</v>
      </c>
    </row>
    <row r="78" spans="1:13" x14ac:dyDescent="0.3">
      <c r="A78" s="8">
        <v>4</v>
      </c>
      <c r="B78" s="8">
        <v>4</v>
      </c>
      <c r="C78" s="8">
        <f t="shared" si="32"/>
        <v>6.2831853071795862</v>
      </c>
      <c r="D78" s="8">
        <f t="shared" si="33"/>
        <v>1</v>
      </c>
      <c r="E78" s="8">
        <f t="shared" si="34"/>
        <v>-2.45029690981724E-16</v>
      </c>
      <c r="F78" s="8" t="str">
        <f t="shared" si="38"/>
        <v>W0</v>
      </c>
      <c r="H78" s="8">
        <v>12</v>
      </c>
      <c r="I78" s="8">
        <v>4</v>
      </c>
      <c r="J78" s="8">
        <f t="shared" si="35"/>
        <v>18.849555921538759</v>
      </c>
      <c r="K78" s="8">
        <f t="shared" si="36"/>
        <v>1</v>
      </c>
      <c r="L78" s="8">
        <f t="shared" si="37"/>
        <v>-7.3508907294517201E-16</v>
      </c>
      <c r="M78" s="8" t="str">
        <f t="shared" si="39"/>
        <v>W0</v>
      </c>
    </row>
    <row r="79" spans="1:13" x14ac:dyDescent="0.3">
      <c r="A79" s="8">
        <v>4</v>
      </c>
      <c r="B79" s="8">
        <v>5</v>
      </c>
      <c r="C79" s="8">
        <f t="shared" si="32"/>
        <v>7.8539816339744828</v>
      </c>
      <c r="D79" s="8">
        <f t="shared" si="33"/>
        <v>3.06287113727155E-16</v>
      </c>
      <c r="E79" s="8">
        <f t="shared" si="34"/>
        <v>1</v>
      </c>
      <c r="F79" s="8" t="str">
        <f t="shared" si="38"/>
        <v>W4</v>
      </c>
      <c r="H79" s="8">
        <v>12</v>
      </c>
      <c r="I79" s="8">
        <v>5</v>
      </c>
      <c r="J79" s="8">
        <f t="shared" si="35"/>
        <v>23.561944901923447</v>
      </c>
      <c r="K79" s="8">
        <f t="shared" si="36"/>
        <v>-2.6952181805817155E-15</v>
      </c>
      <c r="L79" s="8">
        <f t="shared" si="37"/>
        <v>-1</v>
      </c>
      <c r="M79" s="8" t="str">
        <f t="shared" si="39"/>
        <v>W12</v>
      </c>
    </row>
    <row r="80" spans="1:13" x14ac:dyDescent="0.3">
      <c r="A80" s="8">
        <v>4</v>
      </c>
      <c r="B80" s="8">
        <v>6</v>
      </c>
      <c r="C80" s="8">
        <f t="shared" si="32"/>
        <v>9.4247779607693793</v>
      </c>
      <c r="D80" s="8">
        <f t="shared" si="33"/>
        <v>-1</v>
      </c>
      <c r="E80" s="8">
        <f t="shared" si="34"/>
        <v>3.67544536472586E-16</v>
      </c>
      <c r="F80" s="8" t="str">
        <f t="shared" si="38"/>
        <v>W8</v>
      </c>
      <c r="H80" s="8">
        <v>12</v>
      </c>
      <c r="I80" s="8">
        <v>6</v>
      </c>
      <c r="J80" s="8">
        <f t="shared" si="35"/>
        <v>28.274333882308138</v>
      </c>
      <c r="K80" s="8">
        <f t="shared" si="36"/>
        <v>-1</v>
      </c>
      <c r="L80" s="8">
        <f t="shared" si="37"/>
        <v>1.102633609417758E-15</v>
      </c>
      <c r="M80" s="8" t="str">
        <f t="shared" si="39"/>
        <v>W8</v>
      </c>
    </row>
    <row r="81" spans="1:13" x14ac:dyDescent="0.3">
      <c r="A81" s="8">
        <v>4</v>
      </c>
      <c r="B81" s="8">
        <v>7</v>
      </c>
      <c r="C81" s="8">
        <f t="shared" si="32"/>
        <v>10.995574287564276</v>
      </c>
      <c r="D81" s="8">
        <f t="shared" si="33"/>
        <v>-4.28801959218017E-16</v>
      </c>
      <c r="E81" s="8">
        <f t="shared" si="34"/>
        <v>-1</v>
      </c>
      <c r="F81" s="8" t="str">
        <f t="shared" si="38"/>
        <v>W12</v>
      </c>
      <c r="H81" s="8">
        <v>12</v>
      </c>
      <c r="I81" s="8">
        <v>7</v>
      </c>
      <c r="J81" s="8">
        <f t="shared" si="35"/>
        <v>32.986722862692829</v>
      </c>
      <c r="K81" s="8">
        <f t="shared" si="36"/>
        <v>-4.8995096174619945E-16</v>
      </c>
      <c r="L81" s="8">
        <f t="shared" si="37"/>
        <v>1</v>
      </c>
      <c r="M81" s="8" t="str">
        <f t="shared" si="39"/>
        <v>W4</v>
      </c>
    </row>
    <row r="82" spans="1:13" x14ac:dyDescent="0.3">
      <c r="A82" s="8">
        <v>4</v>
      </c>
      <c r="B82" s="8">
        <v>8</v>
      </c>
      <c r="C82" s="8">
        <f t="shared" si="32"/>
        <v>12.566370614359172</v>
      </c>
      <c r="D82" s="8">
        <f t="shared" si="33"/>
        <v>1</v>
      </c>
      <c r="E82" s="8">
        <f t="shared" si="34"/>
        <v>-4.90059381963448E-16</v>
      </c>
      <c r="F82" s="8" t="str">
        <f t="shared" si="38"/>
        <v>W0</v>
      </c>
      <c r="H82" s="8">
        <v>12</v>
      </c>
      <c r="I82" s="8">
        <v>8</v>
      </c>
      <c r="J82" s="8">
        <f t="shared" si="35"/>
        <v>37.699111843077517</v>
      </c>
      <c r="K82" s="8">
        <f t="shared" si="36"/>
        <v>1</v>
      </c>
      <c r="L82" s="8">
        <f t="shared" si="37"/>
        <v>-1.470178145890344E-15</v>
      </c>
      <c r="M82" s="8" t="str">
        <f t="shared" si="39"/>
        <v>W0</v>
      </c>
    </row>
    <row r="83" spans="1:13" x14ac:dyDescent="0.3">
      <c r="A83" s="8">
        <v>4</v>
      </c>
      <c r="B83" s="8">
        <v>9</v>
      </c>
      <c r="C83" s="8">
        <f t="shared" si="32"/>
        <v>14.137166941154069</v>
      </c>
      <c r="D83" s="8">
        <f t="shared" si="33"/>
        <v>5.51316804708879E-16</v>
      </c>
      <c r="E83" s="8">
        <f t="shared" si="34"/>
        <v>1</v>
      </c>
      <c r="F83" s="8" t="str">
        <f t="shared" si="38"/>
        <v>W4</v>
      </c>
      <c r="H83" s="8">
        <v>12</v>
      </c>
      <c r="I83" s="8">
        <v>9</v>
      </c>
      <c r="J83" s="8">
        <f t="shared" si="35"/>
        <v>42.411500823462205</v>
      </c>
      <c r="K83" s="8">
        <f t="shared" si="36"/>
        <v>-3.4303072535268875E-15</v>
      </c>
      <c r="L83" s="8">
        <f t="shared" si="37"/>
        <v>-1</v>
      </c>
      <c r="M83" s="8" t="str">
        <f t="shared" si="39"/>
        <v>W12</v>
      </c>
    </row>
    <row r="84" spans="1:13" x14ac:dyDescent="0.3">
      <c r="A84" s="8">
        <v>4</v>
      </c>
      <c r="B84" s="8">
        <v>10</v>
      </c>
      <c r="C84" s="8">
        <f t="shared" si="32"/>
        <v>15.707963267948966</v>
      </c>
      <c r="D84" s="8">
        <f t="shared" si="33"/>
        <v>-1</v>
      </c>
      <c r="E84" s="8">
        <f t="shared" si="34"/>
        <v>6.1257422745431001E-16</v>
      </c>
      <c r="F84" s="8" t="str">
        <f t="shared" si="38"/>
        <v>W8</v>
      </c>
      <c r="H84" s="8">
        <v>12</v>
      </c>
      <c r="I84" s="8">
        <v>10</v>
      </c>
      <c r="J84" s="8">
        <f t="shared" si="35"/>
        <v>47.123889803846893</v>
      </c>
      <c r="K84" s="8">
        <f t="shared" si="36"/>
        <v>-1</v>
      </c>
      <c r="L84" s="8">
        <f t="shared" si="37"/>
        <v>5.3904363611634309E-15</v>
      </c>
      <c r="M84" s="8" t="str">
        <f t="shared" si="39"/>
        <v>W8</v>
      </c>
    </row>
    <row r="85" spans="1:13" x14ac:dyDescent="0.3">
      <c r="A85" s="8">
        <v>4</v>
      </c>
      <c r="B85" s="8">
        <v>11</v>
      </c>
      <c r="C85" s="8">
        <f t="shared" si="32"/>
        <v>17.27875959474386</v>
      </c>
      <c r="D85" s="8">
        <f t="shared" si="33"/>
        <v>-2.4501884895999915E-15</v>
      </c>
      <c r="E85" s="8">
        <f t="shared" si="34"/>
        <v>-1</v>
      </c>
      <c r="F85" s="8" t="str">
        <f t="shared" si="38"/>
        <v>W12</v>
      </c>
      <c r="H85" s="8">
        <v>12</v>
      </c>
      <c r="I85" s="8">
        <v>11</v>
      </c>
      <c r="J85" s="8">
        <f t="shared" si="35"/>
        <v>51.836278784231588</v>
      </c>
      <c r="K85" s="8">
        <f t="shared" si="36"/>
        <v>2.4513811119897255E-16</v>
      </c>
      <c r="L85" s="8">
        <f t="shared" si="37"/>
        <v>1</v>
      </c>
      <c r="M85" s="8" t="str">
        <f t="shared" si="39"/>
        <v>W4</v>
      </c>
    </row>
    <row r="86" spans="1:13" x14ac:dyDescent="0.3">
      <c r="A86" s="8">
        <v>4</v>
      </c>
      <c r="B86" s="8">
        <v>12</v>
      </c>
      <c r="C86" s="8">
        <f t="shared" si="32"/>
        <v>18.849555921538759</v>
      </c>
      <c r="D86" s="8">
        <f t="shared" si="33"/>
        <v>1</v>
      </c>
      <c r="E86" s="8">
        <f t="shared" si="34"/>
        <v>-7.3508907294517201E-16</v>
      </c>
      <c r="F86" s="8" t="str">
        <f t="shared" si="38"/>
        <v>W0</v>
      </c>
      <c r="H86" s="8">
        <v>12</v>
      </c>
      <c r="I86" s="8">
        <v>12</v>
      </c>
      <c r="J86" s="8">
        <f t="shared" si="35"/>
        <v>56.548667764616276</v>
      </c>
      <c r="K86" s="8">
        <f t="shared" si="36"/>
        <v>1</v>
      </c>
      <c r="L86" s="8">
        <f t="shared" si="37"/>
        <v>-2.205267218835516E-15</v>
      </c>
      <c r="M86" s="8" t="str">
        <f t="shared" si="39"/>
        <v>W0</v>
      </c>
    </row>
    <row r="87" spans="1:13" x14ac:dyDescent="0.3">
      <c r="A87" s="8">
        <v>4</v>
      </c>
      <c r="B87" s="8">
        <v>13</v>
      </c>
      <c r="C87" s="8">
        <f t="shared" si="32"/>
        <v>20.420352248333657</v>
      </c>
      <c r="D87" s="8">
        <f t="shared" si="33"/>
        <v>-9.8001034370964746E-16</v>
      </c>
      <c r="E87" s="8">
        <f t="shared" si="34"/>
        <v>1</v>
      </c>
      <c r="F87" s="8" t="str">
        <f t="shared" si="38"/>
        <v>W4</v>
      </c>
      <c r="H87" s="8">
        <v>12</v>
      </c>
      <c r="I87" s="8">
        <v>13</v>
      </c>
      <c r="J87" s="8">
        <f t="shared" si="35"/>
        <v>61.261056745000964</v>
      </c>
      <c r="K87" s="8">
        <f t="shared" si="36"/>
        <v>-4.1653963264720595E-15</v>
      </c>
      <c r="L87" s="8">
        <f t="shared" si="37"/>
        <v>-1</v>
      </c>
      <c r="M87" s="8" t="str">
        <f t="shared" si="39"/>
        <v>W12</v>
      </c>
    </row>
    <row r="88" spans="1:13" x14ac:dyDescent="0.3">
      <c r="A88" s="8">
        <v>4</v>
      </c>
      <c r="B88" s="8">
        <v>14</v>
      </c>
      <c r="C88" s="8">
        <f t="shared" si="32"/>
        <v>21.991148575128552</v>
      </c>
      <c r="D88" s="8">
        <f t="shared" si="33"/>
        <v>-1</v>
      </c>
      <c r="E88" s="8">
        <f t="shared" si="34"/>
        <v>8.5760391843603401E-16</v>
      </c>
      <c r="F88" s="8" t="str">
        <f t="shared" si="38"/>
        <v>W8</v>
      </c>
      <c r="H88" s="8">
        <v>12</v>
      </c>
      <c r="I88" s="8">
        <v>14</v>
      </c>
      <c r="J88" s="8">
        <f t="shared" si="35"/>
        <v>65.973445725385659</v>
      </c>
      <c r="K88" s="8">
        <f t="shared" si="36"/>
        <v>-1</v>
      </c>
      <c r="L88" s="8">
        <f t="shared" si="37"/>
        <v>-9.7990192349239891E-16</v>
      </c>
      <c r="M88" s="8" t="str">
        <f t="shared" si="39"/>
        <v>W8</v>
      </c>
    </row>
    <row r="89" spans="1:13" x14ac:dyDescent="0.3">
      <c r="A89" s="8">
        <v>4</v>
      </c>
      <c r="B89" s="8">
        <v>15</v>
      </c>
      <c r="C89" s="8">
        <f t="shared" si="32"/>
        <v>23.561944901923447</v>
      </c>
      <c r="D89" s="8">
        <f t="shared" si="33"/>
        <v>-2.6952181805817155E-15</v>
      </c>
      <c r="E89" s="8">
        <f t="shared" si="34"/>
        <v>-1</v>
      </c>
      <c r="F89" s="8" t="str">
        <f t="shared" si="38"/>
        <v>W12</v>
      </c>
      <c r="H89" s="8">
        <v>12</v>
      </c>
      <c r="I89" s="8">
        <v>15</v>
      </c>
      <c r="J89" s="8">
        <f t="shared" si="35"/>
        <v>70.685834705770347</v>
      </c>
      <c r="K89" s="8">
        <f t="shared" si="36"/>
        <v>9.8022718414414456E-16</v>
      </c>
      <c r="L89" s="8">
        <f t="shared" si="37"/>
        <v>1</v>
      </c>
      <c r="M89" s="8" t="str">
        <f t="shared" si="39"/>
        <v>W4</v>
      </c>
    </row>
    <row r="91" spans="1:13" s="7" customFormat="1" x14ac:dyDescent="0.3">
      <c r="A91" s="7" t="s">
        <v>29</v>
      </c>
      <c r="B91" s="7" t="s">
        <v>21</v>
      </c>
      <c r="C91" s="7" t="s">
        <v>22</v>
      </c>
      <c r="D91" s="7" t="s">
        <v>23</v>
      </c>
      <c r="E91" s="7" t="s">
        <v>24</v>
      </c>
      <c r="H91" s="8" t="s">
        <v>37</v>
      </c>
      <c r="I91" s="8" t="s">
        <v>21</v>
      </c>
      <c r="J91" s="8" t="s">
        <v>22</v>
      </c>
      <c r="K91" s="8" t="s">
        <v>23</v>
      </c>
      <c r="L91" s="8" t="s">
        <v>24</v>
      </c>
      <c r="M91" s="8"/>
    </row>
    <row r="92" spans="1:13" x14ac:dyDescent="0.3">
      <c r="A92" s="8">
        <v>5</v>
      </c>
      <c r="B92" s="8">
        <v>0</v>
      </c>
      <c r="C92" s="8">
        <f>2*PI()*A92*B92/16</f>
        <v>0</v>
      </c>
      <c r="D92" s="8">
        <f>COS(C92)</f>
        <v>1</v>
      </c>
      <c r="E92" s="8">
        <f>SIN(C92)</f>
        <v>0</v>
      </c>
      <c r="F92" s="8" t="str">
        <f>"W" &amp; MOD(A92 * B92, 16)</f>
        <v>W0</v>
      </c>
      <c r="H92" s="8">
        <v>13</v>
      </c>
      <c r="I92" s="8">
        <v>0</v>
      </c>
      <c r="J92" s="8">
        <f>2*PI()*H92*I92/16</f>
        <v>0</v>
      </c>
      <c r="K92" s="8">
        <f>COS(J92)</f>
        <v>1</v>
      </c>
      <c r="L92" s="8">
        <f>SIN(J92)</f>
        <v>0</v>
      </c>
      <c r="M92" s="8" t="str">
        <f>"W" &amp; MOD(H92 * I92, 16)</f>
        <v>W0</v>
      </c>
    </row>
    <row r="93" spans="1:13" x14ac:dyDescent="0.3">
      <c r="A93" s="8">
        <v>5</v>
      </c>
      <c r="B93" s="8">
        <v>1</v>
      </c>
      <c r="C93" s="8">
        <f t="shared" ref="C93:C107" si="40">2*PI()*A93*B93/16</f>
        <v>1.9634954084936207</v>
      </c>
      <c r="D93" s="8">
        <f t="shared" ref="D93:D107" si="41">COS(C93)</f>
        <v>-0.38268343236508973</v>
      </c>
      <c r="E93" s="8">
        <f t="shared" ref="E93:E107" si="42">SIN(C93)</f>
        <v>0.92387953251128674</v>
      </c>
      <c r="F93" s="8" t="str">
        <f>"W" &amp; MOD(A93 * B93, 16)</f>
        <v>W5</v>
      </c>
      <c r="H93" s="8">
        <v>13</v>
      </c>
      <c r="I93" s="8">
        <v>1</v>
      </c>
      <c r="J93" s="8">
        <f t="shared" ref="J93:J107" si="43">2*PI()*H93*I93/16</f>
        <v>5.1050880620834143</v>
      </c>
      <c r="K93" s="8">
        <f t="shared" ref="K93:K107" si="44">COS(J93)</f>
        <v>0.38268343236509</v>
      </c>
      <c r="L93" s="8">
        <f t="shared" ref="L93:L107" si="45">SIN(J93)</f>
        <v>-0.92387953251128663</v>
      </c>
      <c r="M93" s="8" t="str">
        <f>"W" &amp; MOD(H93 * I93, 16)</f>
        <v>W13</v>
      </c>
    </row>
    <row r="94" spans="1:13" x14ac:dyDescent="0.3">
      <c r="A94" s="8">
        <v>5</v>
      </c>
      <c r="B94" s="8">
        <v>2</v>
      </c>
      <c r="C94" s="8">
        <f t="shared" si="40"/>
        <v>3.9269908169872414</v>
      </c>
      <c r="D94" s="8">
        <f t="shared" si="41"/>
        <v>-0.70710678118654768</v>
      </c>
      <c r="E94" s="8">
        <f t="shared" si="42"/>
        <v>-0.70710678118654746</v>
      </c>
      <c r="F94" s="8" t="str">
        <f t="shared" ref="F94:F107" si="46">"W" &amp; MOD(A94 * B94, 16)</f>
        <v>W10</v>
      </c>
      <c r="H94" s="8">
        <v>13</v>
      </c>
      <c r="I94" s="8">
        <v>2</v>
      </c>
      <c r="J94" s="8">
        <f t="shared" si="43"/>
        <v>10.210176124166829</v>
      </c>
      <c r="K94" s="8">
        <f t="shared" si="44"/>
        <v>-0.70710678118654713</v>
      </c>
      <c r="L94" s="8">
        <f t="shared" si="45"/>
        <v>-0.70710678118654791</v>
      </c>
      <c r="M94" s="8" t="str">
        <f t="shared" ref="M94:M107" si="47">"W" &amp; MOD(H94 * I94, 16)</f>
        <v>W10</v>
      </c>
    </row>
    <row r="95" spans="1:13" x14ac:dyDescent="0.3">
      <c r="A95" s="8">
        <v>5</v>
      </c>
      <c r="B95" s="8">
        <v>3</v>
      </c>
      <c r="C95" s="8">
        <f t="shared" si="40"/>
        <v>5.8904862254808616</v>
      </c>
      <c r="D95" s="8">
        <f t="shared" si="41"/>
        <v>0.92387953251128652</v>
      </c>
      <c r="E95" s="8">
        <f t="shared" si="42"/>
        <v>-0.38268343236509039</v>
      </c>
      <c r="F95" s="8" t="str">
        <f t="shared" si="46"/>
        <v>W15</v>
      </c>
      <c r="H95" s="8">
        <v>13</v>
      </c>
      <c r="I95" s="8">
        <v>3</v>
      </c>
      <c r="J95" s="8">
        <f t="shared" si="43"/>
        <v>15.315264186250243</v>
      </c>
      <c r="K95" s="8">
        <f t="shared" si="44"/>
        <v>-0.92387953251128707</v>
      </c>
      <c r="L95" s="8">
        <f t="shared" si="45"/>
        <v>0.38268343236508912</v>
      </c>
      <c r="M95" s="8" t="str">
        <f t="shared" si="47"/>
        <v>W7</v>
      </c>
    </row>
    <row r="96" spans="1:13" x14ac:dyDescent="0.3">
      <c r="A96" s="8">
        <v>5</v>
      </c>
      <c r="B96" s="8">
        <v>4</v>
      </c>
      <c r="C96" s="8">
        <f t="shared" si="40"/>
        <v>7.8539816339744828</v>
      </c>
      <c r="D96" s="8">
        <f t="shared" si="41"/>
        <v>3.06287113727155E-16</v>
      </c>
      <c r="E96" s="8">
        <f t="shared" si="42"/>
        <v>1</v>
      </c>
      <c r="F96" s="8" t="str">
        <f t="shared" si="46"/>
        <v>W4</v>
      </c>
      <c r="H96" s="8">
        <v>13</v>
      </c>
      <c r="I96" s="8">
        <v>4</v>
      </c>
      <c r="J96" s="8">
        <f t="shared" si="43"/>
        <v>20.420352248333657</v>
      </c>
      <c r="K96" s="8">
        <f t="shared" si="44"/>
        <v>-9.8001034370964746E-16</v>
      </c>
      <c r="L96" s="8">
        <f t="shared" si="45"/>
        <v>1</v>
      </c>
      <c r="M96" s="8" t="str">
        <f t="shared" si="47"/>
        <v>W4</v>
      </c>
    </row>
    <row r="97" spans="1:13" x14ac:dyDescent="0.3">
      <c r="A97" s="8">
        <v>5</v>
      </c>
      <c r="B97" s="8">
        <v>5</v>
      </c>
      <c r="C97" s="8">
        <f t="shared" si="40"/>
        <v>9.8174770424681039</v>
      </c>
      <c r="D97" s="8">
        <f t="shared" si="41"/>
        <v>-0.92387953251128674</v>
      </c>
      <c r="E97" s="8">
        <f t="shared" si="42"/>
        <v>-0.38268343236508984</v>
      </c>
      <c r="F97" s="8" t="str">
        <f t="shared" si="46"/>
        <v>W9</v>
      </c>
      <c r="H97" s="8">
        <v>13</v>
      </c>
      <c r="I97" s="8">
        <v>5</v>
      </c>
      <c r="J97" s="8">
        <f t="shared" si="43"/>
        <v>25.525440310417071</v>
      </c>
      <c r="K97" s="8">
        <f t="shared" si="44"/>
        <v>0.92387953251128629</v>
      </c>
      <c r="L97" s="8">
        <f t="shared" si="45"/>
        <v>0.38268343236509089</v>
      </c>
      <c r="M97" s="8" t="str">
        <f t="shared" si="47"/>
        <v>W1</v>
      </c>
    </row>
    <row r="98" spans="1:13" x14ac:dyDescent="0.3">
      <c r="A98" s="8">
        <v>5</v>
      </c>
      <c r="B98" s="8">
        <v>6</v>
      </c>
      <c r="C98" s="8">
        <f t="shared" si="40"/>
        <v>11.780972450961723</v>
      </c>
      <c r="D98" s="8">
        <f t="shared" si="41"/>
        <v>0.70710678118654657</v>
      </c>
      <c r="E98" s="8">
        <f t="shared" si="42"/>
        <v>-0.70710678118654846</v>
      </c>
      <c r="F98" s="8" t="str">
        <f t="shared" si="46"/>
        <v>W14</v>
      </c>
      <c r="H98" s="8">
        <v>13</v>
      </c>
      <c r="I98" s="8">
        <v>6</v>
      </c>
      <c r="J98" s="8">
        <f t="shared" si="43"/>
        <v>30.630528372500486</v>
      </c>
      <c r="K98" s="8">
        <f t="shared" si="44"/>
        <v>0.70710678118654857</v>
      </c>
      <c r="L98" s="8">
        <f t="shared" si="45"/>
        <v>-0.70710678118654646</v>
      </c>
      <c r="M98" s="8" t="str">
        <f t="shared" si="47"/>
        <v>W14</v>
      </c>
    </row>
    <row r="99" spans="1:13" x14ac:dyDescent="0.3">
      <c r="A99" s="8">
        <v>5</v>
      </c>
      <c r="B99" s="8">
        <v>7</v>
      </c>
      <c r="C99" s="8">
        <f t="shared" si="40"/>
        <v>13.744467859455344</v>
      </c>
      <c r="D99" s="8">
        <f t="shared" si="41"/>
        <v>0.38268343236509067</v>
      </c>
      <c r="E99" s="8">
        <f t="shared" si="42"/>
        <v>0.92387953251128641</v>
      </c>
      <c r="F99" s="8" t="str">
        <f t="shared" si="46"/>
        <v>W3</v>
      </c>
      <c r="H99" s="8">
        <v>13</v>
      </c>
      <c r="I99" s="8">
        <v>7</v>
      </c>
      <c r="J99" s="8">
        <f t="shared" si="43"/>
        <v>35.735616434583903</v>
      </c>
      <c r="K99" s="8">
        <f t="shared" si="44"/>
        <v>-0.3826834323650849</v>
      </c>
      <c r="L99" s="8">
        <f t="shared" si="45"/>
        <v>-0.92387953251128874</v>
      </c>
      <c r="M99" s="8" t="str">
        <f t="shared" si="47"/>
        <v>W11</v>
      </c>
    </row>
    <row r="100" spans="1:13" x14ac:dyDescent="0.3">
      <c r="A100" s="8">
        <v>5</v>
      </c>
      <c r="B100" s="8">
        <v>8</v>
      </c>
      <c r="C100" s="8">
        <f t="shared" si="40"/>
        <v>15.707963267948966</v>
      </c>
      <c r="D100" s="8">
        <f t="shared" si="41"/>
        <v>-1</v>
      </c>
      <c r="E100" s="8">
        <f t="shared" si="42"/>
        <v>6.1257422745431001E-16</v>
      </c>
      <c r="F100" s="8" t="str">
        <f t="shared" si="46"/>
        <v>W8</v>
      </c>
      <c r="H100" s="8">
        <v>13</v>
      </c>
      <c r="I100" s="8">
        <v>8</v>
      </c>
      <c r="J100" s="8">
        <f t="shared" si="43"/>
        <v>40.840704496667314</v>
      </c>
      <c r="K100" s="8">
        <f t="shared" si="44"/>
        <v>-1</v>
      </c>
      <c r="L100" s="8">
        <f t="shared" si="45"/>
        <v>-1.9600206874192949E-15</v>
      </c>
      <c r="M100" s="8" t="str">
        <f t="shared" si="47"/>
        <v>W8</v>
      </c>
    </row>
    <row r="101" spans="1:13" x14ac:dyDescent="0.3">
      <c r="A101" s="8">
        <v>5</v>
      </c>
      <c r="B101" s="8">
        <v>9</v>
      </c>
      <c r="C101" s="8">
        <f t="shared" si="40"/>
        <v>17.671458676442587</v>
      </c>
      <c r="D101" s="8">
        <f t="shared" si="41"/>
        <v>0.38268343236508956</v>
      </c>
      <c r="E101" s="8">
        <f t="shared" si="42"/>
        <v>-0.92387953251128685</v>
      </c>
      <c r="F101" s="8" t="str">
        <f t="shared" si="46"/>
        <v>W13</v>
      </c>
      <c r="H101" s="8">
        <v>13</v>
      </c>
      <c r="I101" s="8">
        <v>9</v>
      </c>
      <c r="J101" s="8">
        <f t="shared" si="43"/>
        <v>45.945792558750725</v>
      </c>
      <c r="K101" s="8">
        <f t="shared" si="44"/>
        <v>-0.38268343236508851</v>
      </c>
      <c r="L101" s="8">
        <f t="shared" si="45"/>
        <v>0.92387953251128729</v>
      </c>
      <c r="M101" s="8" t="str">
        <f t="shared" si="47"/>
        <v>W5</v>
      </c>
    </row>
    <row r="102" spans="1:13" x14ac:dyDescent="0.3">
      <c r="A102" s="8">
        <v>5</v>
      </c>
      <c r="B102" s="8">
        <v>10</v>
      </c>
      <c r="C102" s="8">
        <f t="shared" si="40"/>
        <v>19.634954084936208</v>
      </c>
      <c r="D102" s="8">
        <f t="shared" si="41"/>
        <v>0.70710678118654746</v>
      </c>
      <c r="E102" s="8">
        <f t="shared" si="42"/>
        <v>0.70710678118654757</v>
      </c>
      <c r="F102" s="8" t="str">
        <f t="shared" si="46"/>
        <v>W2</v>
      </c>
      <c r="H102" s="8">
        <v>13</v>
      </c>
      <c r="I102" s="8">
        <v>10</v>
      </c>
      <c r="J102" s="8">
        <f t="shared" si="43"/>
        <v>51.050880620834143</v>
      </c>
      <c r="K102" s="8">
        <f t="shared" si="44"/>
        <v>0.7071067811865458</v>
      </c>
      <c r="L102" s="8">
        <f t="shared" si="45"/>
        <v>0.70710678118654924</v>
      </c>
      <c r="M102" s="8" t="str">
        <f t="shared" si="47"/>
        <v>W2</v>
      </c>
    </row>
    <row r="103" spans="1:13" x14ac:dyDescent="0.3">
      <c r="A103" s="8">
        <v>5</v>
      </c>
      <c r="B103" s="8">
        <v>11</v>
      </c>
      <c r="C103" s="8">
        <f t="shared" si="40"/>
        <v>21.598449493429829</v>
      </c>
      <c r="D103" s="8">
        <f t="shared" si="41"/>
        <v>-0.92387953251128696</v>
      </c>
      <c r="E103" s="8">
        <f t="shared" si="42"/>
        <v>0.38268343236508934</v>
      </c>
      <c r="F103" s="8" t="str">
        <f t="shared" si="46"/>
        <v>W7</v>
      </c>
      <c r="H103" s="8">
        <v>13</v>
      </c>
      <c r="I103" s="8">
        <v>11</v>
      </c>
      <c r="J103" s="8">
        <f t="shared" si="43"/>
        <v>56.15596868291756</v>
      </c>
      <c r="K103" s="8">
        <f t="shared" si="44"/>
        <v>0.92387953251128918</v>
      </c>
      <c r="L103" s="8">
        <f t="shared" si="45"/>
        <v>-0.38268343236508401</v>
      </c>
      <c r="M103" s="8" t="str">
        <f t="shared" si="47"/>
        <v>W15</v>
      </c>
    </row>
    <row r="104" spans="1:13" x14ac:dyDescent="0.3">
      <c r="A104" s="8">
        <v>5</v>
      </c>
      <c r="B104" s="8">
        <v>12</v>
      </c>
      <c r="C104" s="8">
        <f t="shared" si="40"/>
        <v>23.561944901923447</v>
      </c>
      <c r="D104" s="8">
        <f t="shared" si="41"/>
        <v>-2.6952181805817155E-15</v>
      </c>
      <c r="E104" s="8">
        <f t="shared" si="42"/>
        <v>-1</v>
      </c>
      <c r="F104" s="8" t="str">
        <f t="shared" si="46"/>
        <v>W12</v>
      </c>
      <c r="H104" s="8">
        <v>13</v>
      </c>
      <c r="I104" s="8">
        <v>12</v>
      </c>
      <c r="J104" s="8">
        <f t="shared" si="43"/>
        <v>61.261056745000971</v>
      </c>
      <c r="K104" s="8">
        <f t="shared" si="44"/>
        <v>2.9400310311289424E-15</v>
      </c>
      <c r="L104" s="8">
        <f t="shared" si="45"/>
        <v>-1</v>
      </c>
      <c r="M104" s="8" t="str">
        <f t="shared" si="47"/>
        <v>W12</v>
      </c>
    </row>
    <row r="105" spans="1:13" x14ac:dyDescent="0.3">
      <c r="A105" s="8">
        <v>5</v>
      </c>
      <c r="B105" s="8">
        <v>13</v>
      </c>
      <c r="C105" s="8">
        <f t="shared" si="40"/>
        <v>25.525440310417068</v>
      </c>
      <c r="D105" s="8">
        <f t="shared" si="41"/>
        <v>0.92387953251128763</v>
      </c>
      <c r="E105" s="8">
        <f t="shared" si="42"/>
        <v>0.38268343236508762</v>
      </c>
      <c r="F105" s="8" t="str">
        <f t="shared" si="46"/>
        <v>W1</v>
      </c>
      <c r="H105" s="8">
        <v>13</v>
      </c>
      <c r="I105" s="8">
        <v>13</v>
      </c>
      <c r="J105" s="8">
        <f t="shared" si="43"/>
        <v>66.366144807084382</v>
      </c>
      <c r="K105" s="8">
        <f t="shared" si="44"/>
        <v>-0.92387953251128685</v>
      </c>
      <c r="L105" s="8">
        <f t="shared" si="45"/>
        <v>-0.38268343236508945</v>
      </c>
      <c r="M105" s="8" t="str">
        <f t="shared" si="47"/>
        <v>W9</v>
      </c>
    </row>
    <row r="106" spans="1:13" x14ac:dyDescent="0.3">
      <c r="A106" s="8">
        <v>5</v>
      </c>
      <c r="B106" s="8">
        <v>14</v>
      </c>
      <c r="C106" s="8">
        <f t="shared" si="40"/>
        <v>27.488935718910689</v>
      </c>
      <c r="D106" s="8">
        <f t="shared" si="41"/>
        <v>-0.70710678118654613</v>
      </c>
      <c r="E106" s="8">
        <f t="shared" si="42"/>
        <v>0.70710678118654891</v>
      </c>
      <c r="F106" s="8" t="str">
        <f t="shared" si="46"/>
        <v>W6</v>
      </c>
      <c r="H106" s="8">
        <v>13</v>
      </c>
      <c r="I106" s="8">
        <v>14</v>
      </c>
      <c r="J106" s="8">
        <f t="shared" si="43"/>
        <v>71.471232869167807</v>
      </c>
      <c r="K106" s="8">
        <f t="shared" si="44"/>
        <v>-0.70710678118655501</v>
      </c>
      <c r="L106" s="8">
        <f t="shared" si="45"/>
        <v>0.70710678118654002</v>
      </c>
      <c r="M106" s="8" t="str">
        <f t="shared" si="47"/>
        <v>W6</v>
      </c>
    </row>
    <row r="107" spans="1:13" x14ac:dyDescent="0.3">
      <c r="A107" s="8">
        <v>5</v>
      </c>
      <c r="B107" s="8">
        <v>15</v>
      </c>
      <c r="C107" s="8">
        <f t="shared" si="40"/>
        <v>29.45243112740431</v>
      </c>
      <c r="D107" s="8">
        <f t="shared" si="41"/>
        <v>-0.38268343236509123</v>
      </c>
      <c r="E107" s="8">
        <f t="shared" si="42"/>
        <v>-0.92387953251128618</v>
      </c>
      <c r="F107" s="8" t="str">
        <f t="shared" si="46"/>
        <v>W11</v>
      </c>
      <c r="H107" s="8">
        <v>13</v>
      </c>
      <c r="I107" s="8">
        <v>15</v>
      </c>
      <c r="J107" s="8">
        <f t="shared" si="43"/>
        <v>76.576320931251217</v>
      </c>
      <c r="K107" s="8">
        <f t="shared" si="44"/>
        <v>0.38268343236508312</v>
      </c>
      <c r="L107" s="8">
        <f t="shared" si="45"/>
        <v>0.92387953251128951</v>
      </c>
      <c r="M107" s="8" t="str">
        <f t="shared" si="47"/>
        <v>W3</v>
      </c>
    </row>
    <row r="109" spans="1:13" s="7" customFormat="1" x14ac:dyDescent="0.3">
      <c r="A109" s="7" t="s">
        <v>30</v>
      </c>
      <c r="B109" s="7" t="s">
        <v>21</v>
      </c>
      <c r="C109" s="7" t="s">
        <v>22</v>
      </c>
      <c r="D109" s="7" t="s">
        <v>23</v>
      </c>
      <c r="E109" s="7" t="s">
        <v>24</v>
      </c>
      <c r="H109" s="7" t="s">
        <v>38</v>
      </c>
      <c r="I109" s="7" t="s">
        <v>21</v>
      </c>
      <c r="J109" s="7" t="s">
        <v>22</v>
      </c>
      <c r="K109" s="7" t="s">
        <v>23</v>
      </c>
      <c r="L109" s="7" t="s">
        <v>24</v>
      </c>
    </row>
    <row r="110" spans="1:13" x14ac:dyDescent="0.3">
      <c r="A110" s="8">
        <v>6</v>
      </c>
      <c r="B110" s="8">
        <v>0</v>
      </c>
      <c r="C110" s="8">
        <f>2*PI()*A110*B110/16</f>
        <v>0</v>
      </c>
      <c r="D110" s="8">
        <f>COS(C110)</f>
        <v>1</v>
      </c>
      <c r="E110" s="8">
        <f>SIN(C110)</f>
        <v>0</v>
      </c>
      <c r="F110" s="8" t="str">
        <f>"W" &amp; MOD(A110 * B110, 16)</f>
        <v>W0</v>
      </c>
      <c r="H110" s="8">
        <v>14</v>
      </c>
      <c r="I110" s="8">
        <v>0</v>
      </c>
      <c r="J110" s="8">
        <f>2*PI()*H110*I110/16</f>
        <v>0</v>
      </c>
      <c r="K110" s="8">
        <f>COS(J110)</f>
        <v>1</v>
      </c>
      <c r="L110" s="8">
        <f>SIN(J110)</f>
        <v>0</v>
      </c>
      <c r="M110" s="8" t="str">
        <f>"W" &amp; MOD(H110 * I110, 16)</f>
        <v>W0</v>
      </c>
    </row>
    <row r="111" spans="1:13" x14ac:dyDescent="0.3">
      <c r="A111" s="8">
        <v>6</v>
      </c>
      <c r="B111" s="8">
        <v>1</v>
      </c>
      <c r="C111" s="8">
        <f t="shared" ref="C111:C125" si="48">2*PI()*A111*B111/16</f>
        <v>2.3561944901923448</v>
      </c>
      <c r="D111" s="8">
        <f t="shared" ref="D111:D125" si="49">COS(C111)</f>
        <v>-0.70710678118654746</v>
      </c>
      <c r="E111" s="8">
        <f t="shared" ref="E111:E125" si="50">SIN(C111)</f>
        <v>0.70710678118654757</v>
      </c>
      <c r="F111" s="8" t="str">
        <f>"W" &amp; MOD(A111 * B111, 16)</f>
        <v>W6</v>
      </c>
      <c r="H111" s="8">
        <v>14</v>
      </c>
      <c r="I111" s="8">
        <v>1</v>
      </c>
      <c r="J111" s="8">
        <f t="shared" ref="J111:J125" si="51">2*PI()*H111*I111/16</f>
        <v>5.497787143782138</v>
      </c>
      <c r="K111" s="8">
        <f t="shared" ref="K111:K125" si="52">COS(J111)</f>
        <v>0.70710678118654735</v>
      </c>
      <c r="L111" s="8">
        <f t="shared" ref="L111:L125" si="53">SIN(J111)</f>
        <v>-0.70710678118654768</v>
      </c>
      <c r="M111" s="8" t="str">
        <f>"W" &amp; MOD(H111 * I111, 16)</f>
        <v>W14</v>
      </c>
    </row>
    <row r="112" spans="1:13" x14ac:dyDescent="0.3">
      <c r="A112" s="8">
        <v>6</v>
      </c>
      <c r="B112" s="8">
        <v>2</v>
      </c>
      <c r="C112" s="8">
        <f t="shared" si="48"/>
        <v>4.7123889803846897</v>
      </c>
      <c r="D112" s="8">
        <f t="shared" si="49"/>
        <v>-1.83772268236293E-16</v>
      </c>
      <c r="E112" s="8">
        <f t="shared" si="50"/>
        <v>-1</v>
      </c>
      <c r="F112" s="8" t="str">
        <f t="shared" ref="F112:F125" si="54">"W" &amp; MOD(A112 * B112, 16)</f>
        <v>W12</v>
      </c>
      <c r="H112" s="8">
        <v>14</v>
      </c>
      <c r="I112" s="8">
        <v>2</v>
      </c>
      <c r="J112" s="8">
        <f t="shared" si="51"/>
        <v>10.995574287564276</v>
      </c>
      <c r="K112" s="8">
        <f t="shared" si="52"/>
        <v>-4.28801959218017E-16</v>
      </c>
      <c r="L112" s="8">
        <f t="shared" si="53"/>
        <v>-1</v>
      </c>
      <c r="M112" s="8" t="str">
        <f t="shared" ref="M112:M125" si="55">"W" &amp; MOD(H112 * I112, 16)</f>
        <v>W12</v>
      </c>
    </row>
    <row r="113" spans="1:13" x14ac:dyDescent="0.3">
      <c r="A113" s="8">
        <v>6</v>
      </c>
      <c r="B113" s="8">
        <v>3</v>
      </c>
      <c r="C113" s="8">
        <f t="shared" si="48"/>
        <v>7.0685834705770345</v>
      </c>
      <c r="D113" s="8">
        <f t="shared" si="49"/>
        <v>0.70710678118654768</v>
      </c>
      <c r="E113" s="8">
        <f t="shared" si="50"/>
        <v>0.70710678118654735</v>
      </c>
      <c r="F113" s="8" t="str">
        <f t="shared" si="54"/>
        <v>W2</v>
      </c>
      <c r="H113" s="8">
        <v>14</v>
      </c>
      <c r="I113" s="8">
        <v>3</v>
      </c>
      <c r="J113" s="8">
        <f t="shared" si="51"/>
        <v>16.493361431346415</v>
      </c>
      <c r="K113" s="8">
        <f t="shared" si="52"/>
        <v>-0.70710678118654735</v>
      </c>
      <c r="L113" s="8">
        <f t="shared" si="53"/>
        <v>-0.70710678118654768</v>
      </c>
      <c r="M113" s="8" t="str">
        <f t="shared" si="55"/>
        <v>W10</v>
      </c>
    </row>
    <row r="114" spans="1:13" x14ac:dyDescent="0.3">
      <c r="A114" s="8">
        <v>6</v>
      </c>
      <c r="B114" s="8">
        <v>4</v>
      </c>
      <c r="C114" s="8">
        <f t="shared" si="48"/>
        <v>9.4247779607693793</v>
      </c>
      <c r="D114" s="8">
        <f t="shared" si="49"/>
        <v>-1</v>
      </c>
      <c r="E114" s="8">
        <f t="shared" si="50"/>
        <v>3.67544536472586E-16</v>
      </c>
      <c r="F114" s="8" t="str">
        <f t="shared" si="54"/>
        <v>W8</v>
      </c>
      <c r="H114" s="8">
        <v>14</v>
      </c>
      <c r="I114" s="8">
        <v>4</v>
      </c>
      <c r="J114" s="8">
        <f t="shared" si="51"/>
        <v>21.991148575128552</v>
      </c>
      <c r="K114" s="8">
        <f t="shared" si="52"/>
        <v>-1</v>
      </c>
      <c r="L114" s="8">
        <f t="shared" si="53"/>
        <v>8.5760391843603401E-16</v>
      </c>
      <c r="M114" s="8" t="str">
        <f t="shared" si="55"/>
        <v>W8</v>
      </c>
    </row>
    <row r="115" spans="1:13" x14ac:dyDescent="0.3">
      <c r="A115" s="8">
        <v>6</v>
      </c>
      <c r="B115" s="8">
        <v>5</v>
      </c>
      <c r="C115" s="8">
        <f t="shared" si="48"/>
        <v>11.780972450961723</v>
      </c>
      <c r="D115" s="8">
        <f t="shared" si="49"/>
        <v>0.70710678118654657</v>
      </c>
      <c r="E115" s="8">
        <f t="shared" si="50"/>
        <v>-0.70710678118654846</v>
      </c>
      <c r="F115" s="8" t="str">
        <f t="shared" si="54"/>
        <v>W14</v>
      </c>
      <c r="H115" s="8">
        <v>14</v>
      </c>
      <c r="I115" s="8">
        <v>5</v>
      </c>
      <c r="J115" s="8">
        <f t="shared" si="51"/>
        <v>27.488935718910689</v>
      </c>
      <c r="K115" s="8">
        <f t="shared" si="52"/>
        <v>-0.70710678118654613</v>
      </c>
      <c r="L115" s="8">
        <f t="shared" si="53"/>
        <v>0.70710678118654891</v>
      </c>
      <c r="M115" s="8" t="str">
        <f t="shared" si="55"/>
        <v>W6</v>
      </c>
    </row>
    <row r="116" spans="1:13" x14ac:dyDescent="0.3">
      <c r="A116" s="8">
        <v>6</v>
      </c>
      <c r="B116" s="8">
        <v>6</v>
      </c>
      <c r="C116" s="8">
        <f t="shared" si="48"/>
        <v>14.137166941154069</v>
      </c>
      <c r="D116" s="8">
        <f t="shared" si="49"/>
        <v>5.51316804708879E-16</v>
      </c>
      <c r="E116" s="8">
        <f t="shared" si="50"/>
        <v>1</v>
      </c>
      <c r="F116" s="8" t="str">
        <f t="shared" si="54"/>
        <v>W4</v>
      </c>
      <c r="H116" s="8">
        <v>14</v>
      </c>
      <c r="I116" s="8">
        <v>6</v>
      </c>
      <c r="J116" s="8">
        <f t="shared" si="51"/>
        <v>32.986722862692829</v>
      </c>
      <c r="K116" s="8">
        <f t="shared" si="52"/>
        <v>-4.8995096174619945E-16</v>
      </c>
      <c r="L116" s="8">
        <f t="shared" si="53"/>
        <v>1</v>
      </c>
      <c r="M116" s="8" t="str">
        <f t="shared" si="55"/>
        <v>W4</v>
      </c>
    </row>
    <row r="117" spans="1:13" x14ac:dyDescent="0.3">
      <c r="A117" s="8">
        <v>6</v>
      </c>
      <c r="B117" s="8">
        <v>7</v>
      </c>
      <c r="C117" s="8">
        <f t="shared" si="48"/>
        <v>16.493361431346415</v>
      </c>
      <c r="D117" s="8">
        <f t="shared" si="49"/>
        <v>-0.70710678118654735</v>
      </c>
      <c r="E117" s="8">
        <f t="shared" si="50"/>
        <v>-0.70710678118654768</v>
      </c>
      <c r="F117" s="8" t="str">
        <f t="shared" si="54"/>
        <v>W10</v>
      </c>
      <c r="H117" s="8">
        <v>14</v>
      </c>
      <c r="I117" s="8">
        <v>7</v>
      </c>
      <c r="J117" s="8">
        <f t="shared" si="51"/>
        <v>38.484510006474963</v>
      </c>
      <c r="K117" s="8">
        <f t="shared" si="52"/>
        <v>0.70710678118655046</v>
      </c>
      <c r="L117" s="8">
        <f t="shared" si="53"/>
        <v>0.70710678118654458</v>
      </c>
      <c r="M117" s="8" t="str">
        <f t="shared" si="55"/>
        <v>W2</v>
      </c>
    </row>
    <row r="118" spans="1:13" x14ac:dyDescent="0.3">
      <c r="A118" s="8">
        <v>6</v>
      </c>
      <c r="B118" s="8">
        <v>8</v>
      </c>
      <c r="C118" s="8">
        <f t="shared" si="48"/>
        <v>18.849555921538759</v>
      </c>
      <c r="D118" s="8">
        <f t="shared" si="49"/>
        <v>1</v>
      </c>
      <c r="E118" s="8">
        <f t="shared" si="50"/>
        <v>-7.3508907294517201E-16</v>
      </c>
      <c r="F118" s="8" t="str">
        <f t="shared" si="54"/>
        <v>W0</v>
      </c>
      <c r="H118" s="8">
        <v>14</v>
      </c>
      <c r="I118" s="8">
        <v>8</v>
      </c>
      <c r="J118" s="8">
        <f t="shared" si="51"/>
        <v>43.982297150257104</v>
      </c>
      <c r="K118" s="8">
        <f t="shared" si="52"/>
        <v>1</v>
      </c>
      <c r="L118" s="8">
        <f t="shared" si="53"/>
        <v>-1.715207836872068E-15</v>
      </c>
      <c r="M118" s="8" t="str">
        <f t="shared" si="55"/>
        <v>W0</v>
      </c>
    </row>
    <row r="119" spans="1:13" x14ac:dyDescent="0.3">
      <c r="A119" s="8">
        <v>6</v>
      </c>
      <c r="B119" s="8">
        <v>9</v>
      </c>
      <c r="C119" s="8">
        <f t="shared" si="48"/>
        <v>21.205750411731103</v>
      </c>
      <c r="D119" s="8">
        <f t="shared" si="49"/>
        <v>-0.70710678118654635</v>
      </c>
      <c r="E119" s="8">
        <f t="shared" si="50"/>
        <v>0.70710678118654868</v>
      </c>
      <c r="F119" s="8" t="str">
        <f t="shared" si="54"/>
        <v>W6</v>
      </c>
      <c r="H119" s="8">
        <v>14</v>
      </c>
      <c r="I119" s="8">
        <v>9</v>
      </c>
      <c r="J119" s="8">
        <f t="shared" si="51"/>
        <v>49.480084294039244</v>
      </c>
      <c r="K119" s="8">
        <f t="shared" si="52"/>
        <v>0.70710678118654802</v>
      </c>
      <c r="L119" s="8">
        <f t="shared" si="53"/>
        <v>-0.70710678118654702</v>
      </c>
      <c r="M119" s="8" t="str">
        <f t="shared" si="55"/>
        <v>W14</v>
      </c>
    </row>
    <row r="120" spans="1:13" x14ac:dyDescent="0.3">
      <c r="A120" s="8">
        <v>6</v>
      </c>
      <c r="B120" s="8">
        <v>10</v>
      </c>
      <c r="C120" s="8">
        <f t="shared" si="48"/>
        <v>23.561944901923447</v>
      </c>
      <c r="D120" s="8">
        <f t="shared" si="49"/>
        <v>-2.6952181805817155E-15</v>
      </c>
      <c r="E120" s="8">
        <f t="shared" si="50"/>
        <v>-1</v>
      </c>
      <c r="F120" s="8" t="str">
        <f t="shared" si="54"/>
        <v>W12</v>
      </c>
      <c r="H120" s="8">
        <v>14</v>
      </c>
      <c r="I120" s="8">
        <v>10</v>
      </c>
      <c r="J120" s="8">
        <f t="shared" si="51"/>
        <v>54.977871437821378</v>
      </c>
      <c r="K120" s="8">
        <f t="shared" si="52"/>
        <v>-3.9203666354903355E-15</v>
      </c>
      <c r="L120" s="8">
        <f t="shared" si="53"/>
        <v>-1</v>
      </c>
      <c r="M120" s="8" t="str">
        <f t="shared" si="55"/>
        <v>W12</v>
      </c>
    </row>
    <row r="121" spans="1:13" x14ac:dyDescent="0.3">
      <c r="A121" s="8">
        <v>6</v>
      </c>
      <c r="B121" s="8">
        <v>11</v>
      </c>
      <c r="C121" s="8">
        <f t="shared" si="48"/>
        <v>25.918139392115794</v>
      </c>
      <c r="D121" s="8">
        <f t="shared" si="49"/>
        <v>0.70710678118654757</v>
      </c>
      <c r="E121" s="8">
        <f t="shared" si="50"/>
        <v>0.70710678118654746</v>
      </c>
      <c r="F121" s="8" t="str">
        <f t="shared" si="54"/>
        <v>W2</v>
      </c>
      <c r="H121" s="8">
        <v>14</v>
      </c>
      <c r="I121" s="8">
        <v>11</v>
      </c>
      <c r="J121" s="8">
        <f t="shared" si="51"/>
        <v>60.475658581603518</v>
      </c>
      <c r="K121" s="8">
        <f t="shared" si="52"/>
        <v>-0.70710678118654857</v>
      </c>
      <c r="L121" s="8">
        <f t="shared" si="53"/>
        <v>-0.70710678118654646</v>
      </c>
      <c r="M121" s="8" t="str">
        <f t="shared" si="55"/>
        <v>W10</v>
      </c>
    </row>
    <row r="122" spans="1:13" x14ac:dyDescent="0.3">
      <c r="A122" s="8">
        <v>6</v>
      </c>
      <c r="B122" s="8">
        <v>12</v>
      </c>
      <c r="C122" s="8">
        <f t="shared" si="48"/>
        <v>28.274333882308138</v>
      </c>
      <c r="D122" s="8">
        <f t="shared" si="49"/>
        <v>-1</v>
      </c>
      <c r="E122" s="8">
        <f t="shared" si="50"/>
        <v>1.102633609417758E-15</v>
      </c>
      <c r="F122" s="8" t="str">
        <f t="shared" si="54"/>
        <v>W8</v>
      </c>
      <c r="H122" s="8">
        <v>14</v>
      </c>
      <c r="I122" s="8">
        <v>12</v>
      </c>
      <c r="J122" s="8">
        <f t="shared" si="51"/>
        <v>65.973445725385659</v>
      </c>
      <c r="K122" s="8">
        <f t="shared" si="52"/>
        <v>-1</v>
      </c>
      <c r="L122" s="8">
        <f t="shared" si="53"/>
        <v>-9.7990192349239891E-16</v>
      </c>
      <c r="M122" s="8" t="str">
        <f t="shared" si="55"/>
        <v>W8</v>
      </c>
    </row>
    <row r="123" spans="1:13" x14ac:dyDescent="0.3">
      <c r="A123" s="8">
        <v>6</v>
      </c>
      <c r="B123" s="8">
        <v>13</v>
      </c>
      <c r="C123" s="8">
        <f t="shared" si="48"/>
        <v>30.630528372500482</v>
      </c>
      <c r="D123" s="8">
        <f t="shared" si="49"/>
        <v>0.70710678118654602</v>
      </c>
      <c r="E123" s="8">
        <f t="shared" si="50"/>
        <v>-0.70710678118654902</v>
      </c>
      <c r="F123" s="8" t="str">
        <f t="shared" si="54"/>
        <v>W14</v>
      </c>
      <c r="H123" s="8">
        <v>14</v>
      </c>
      <c r="I123" s="8">
        <v>13</v>
      </c>
      <c r="J123" s="8">
        <f t="shared" si="51"/>
        <v>71.471232869167793</v>
      </c>
      <c r="K123" s="8">
        <f t="shared" si="52"/>
        <v>-0.70710678118654491</v>
      </c>
      <c r="L123" s="8">
        <f t="shared" si="53"/>
        <v>0.70710678118655013</v>
      </c>
      <c r="M123" s="8" t="str">
        <f t="shared" si="55"/>
        <v>W6</v>
      </c>
    </row>
    <row r="124" spans="1:13" x14ac:dyDescent="0.3">
      <c r="A124" s="8">
        <v>6</v>
      </c>
      <c r="B124" s="8">
        <v>14</v>
      </c>
      <c r="C124" s="8">
        <f t="shared" si="48"/>
        <v>32.986722862692829</v>
      </c>
      <c r="D124" s="8">
        <f t="shared" si="49"/>
        <v>-4.8995096174619945E-16</v>
      </c>
      <c r="E124" s="8">
        <f t="shared" si="50"/>
        <v>1</v>
      </c>
      <c r="F124" s="8" t="str">
        <f t="shared" si="54"/>
        <v>W4</v>
      </c>
      <c r="H124" s="8">
        <v>14</v>
      </c>
      <c r="I124" s="8">
        <v>14</v>
      </c>
      <c r="J124" s="8">
        <f t="shared" si="51"/>
        <v>76.969020012949926</v>
      </c>
      <c r="K124" s="8">
        <f t="shared" si="52"/>
        <v>8.3306842327268704E-15</v>
      </c>
      <c r="L124" s="8">
        <f t="shared" si="53"/>
        <v>1</v>
      </c>
      <c r="M124" s="8" t="str">
        <f t="shared" si="55"/>
        <v>W4</v>
      </c>
    </row>
    <row r="125" spans="1:13" x14ac:dyDescent="0.3">
      <c r="A125" s="8">
        <v>6</v>
      </c>
      <c r="B125" s="8">
        <v>15</v>
      </c>
      <c r="C125" s="8">
        <f t="shared" si="48"/>
        <v>35.342917352885173</v>
      </c>
      <c r="D125" s="8">
        <f t="shared" si="49"/>
        <v>-0.70710678118654791</v>
      </c>
      <c r="E125" s="8">
        <f t="shared" si="50"/>
        <v>-0.70710678118654713</v>
      </c>
      <c r="F125" s="8" t="str">
        <f t="shared" si="54"/>
        <v>W10</v>
      </c>
      <c r="H125" s="8">
        <v>14</v>
      </c>
      <c r="I125" s="8">
        <v>15</v>
      </c>
      <c r="J125" s="8">
        <f t="shared" si="51"/>
        <v>82.466807156732074</v>
      </c>
      <c r="K125" s="8">
        <f t="shared" si="52"/>
        <v>0.70710678118654668</v>
      </c>
      <c r="L125" s="8">
        <f t="shared" si="53"/>
        <v>0.70710678118654835</v>
      </c>
      <c r="M125" s="8" t="str">
        <f t="shared" si="55"/>
        <v>W2</v>
      </c>
    </row>
    <row r="127" spans="1:13" s="7" customFormat="1" x14ac:dyDescent="0.3">
      <c r="A127" s="7" t="s">
        <v>31</v>
      </c>
      <c r="B127" s="7" t="s">
        <v>21</v>
      </c>
      <c r="C127" s="7" t="s">
        <v>22</v>
      </c>
      <c r="D127" s="7" t="s">
        <v>23</v>
      </c>
      <c r="E127" s="7" t="s">
        <v>24</v>
      </c>
      <c r="H127" s="7" t="s">
        <v>39</v>
      </c>
      <c r="I127" s="7" t="s">
        <v>21</v>
      </c>
      <c r="J127" s="7" t="s">
        <v>22</v>
      </c>
      <c r="K127" s="7" t="s">
        <v>23</v>
      </c>
      <c r="L127" s="7" t="s">
        <v>24</v>
      </c>
    </row>
    <row r="128" spans="1:13" x14ac:dyDescent="0.3">
      <c r="A128" s="8">
        <v>7</v>
      </c>
      <c r="B128" s="8">
        <v>0</v>
      </c>
      <c r="C128" s="8">
        <f>2*PI()*A128*B128/16</f>
        <v>0</v>
      </c>
      <c r="D128" s="8">
        <f>COS(C128)</f>
        <v>1</v>
      </c>
      <c r="E128" s="8">
        <f>SIN(C128)</f>
        <v>0</v>
      </c>
      <c r="F128" s="8" t="str">
        <f>"W" &amp; MOD(A128 * B128, 16)</f>
        <v>W0</v>
      </c>
      <c r="H128" s="8">
        <v>15</v>
      </c>
      <c r="I128" s="8">
        <v>0</v>
      </c>
      <c r="J128" s="8">
        <f>2*PI()*H128*I128/16</f>
        <v>0</v>
      </c>
      <c r="K128" s="8">
        <f>COS(J128)</f>
        <v>1</v>
      </c>
      <c r="L128" s="8">
        <f>SIN(J128)</f>
        <v>0</v>
      </c>
      <c r="M128" s="8" t="str">
        <f>"W" &amp; MOD(H128 * I128, 16)</f>
        <v>W0</v>
      </c>
    </row>
    <row r="129" spans="1:13" x14ac:dyDescent="0.3">
      <c r="A129" s="8">
        <v>7</v>
      </c>
      <c r="B129" s="8">
        <v>1</v>
      </c>
      <c r="C129" s="8">
        <f t="shared" ref="C129:C143" si="56">2*PI()*A129*B129/16</f>
        <v>2.748893571891069</v>
      </c>
      <c r="D129" s="8">
        <f t="shared" ref="D129:D143" si="57">COS(C129)</f>
        <v>-0.92387953251128674</v>
      </c>
      <c r="E129" s="8">
        <f t="shared" ref="E129:E143" si="58">SIN(C129)</f>
        <v>0.38268343236508989</v>
      </c>
      <c r="F129" s="8" t="str">
        <f>"W" &amp; MOD(A129 * B129, 16)</f>
        <v>W7</v>
      </c>
      <c r="H129" s="8">
        <v>15</v>
      </c>
      <c r="I129" s="8">
        <v>1</v>
      </c>
      <c r="J129" s="8">
        <f t="shared" ref="J129:J143" si="59">2*PI()*H129*I129/16</f>
        <v>5.8904862254808616</v>
      </c>
      <c r="K129" s="8">
        <f t="shared" ref="K129:K143" si="60">COS(J129)</f>
        <v>0.92387953251128652</v>
      </c>
      <c r="L129" s="8">
        <f t="shared" ref="L129:L143" si="61">SIN(J129)</f>
        <v>-0.38268343236509039</v>
      </c>
      <c r="M129" s="8" t="str">
        <f>"W" &amp; MOD(H129 * I129, 16)</f>
        <v>W15</v>
      </c>
    </row>
    <row r="130" spans="1:13" x14ac:dyDescent="0.3">
      <c r="A130" s="8">
        <v>7</v>
      </c>
      <c r="B130" s="8">
        <v>2</v>
      </c>
      <c r="C130" s="8">
        <f t="shared" si="56"/>
        <v>5.497787143782138</v>
      </c>
      <c r="D130" s="8">
        <f t="shared" si="57"/>
        <v>0.70710678118654735</v>
      </c>
      <c r="E130" s="8">
        <f t="shared" si="58"/>
        <v>-0.70710678118654768</v>
      </c>
      <c r="F130" s="8" t="str">
        <f t="shared" ref="F130:F143" si="62">"W" &amp; MOD(A130 * B130, 16)</f>
        <v>W14</v>
      </c>
      <c r="H130" s="8">
        <v>15</v>
      </c>
      <c r="I130" s="8">
        <v>2</v>
      </c>
      <c r="J130" s="8">
        <f t="shared" si="59"/>
        <v>11.780972450961723</v>
      </c>
      <c r="K130" s="8">
        <f t="shared" si="60"/>
        <v>0.70710678118654657</v>
      </c>
      <c r="L130" s="8">
        <f t="shared" si="61"/>
        <v>-0.70710678118654846</v>
      </c>
      <c r="M130" s="8" t="str">
        <f t="shared" ref="M130:M143" si="63">"W" &amp; MOD(H130 * I130, 16)</f>
        <v>W14</v>
      </c>
    </row>
    <row r="131" spans="1:13" x14ac:dyDescent="0.3">
      <c r="A131" s="8">
        <v>7</v>
      </c>
      <c r="B131" s="8">
        <v>3</v>
      </c>
      <c r="C131" s="8">
        <f t="shared" si="56"/>
        <v>8.2466807156732074</v>
      </c>
      <c r="D131" s="8">
        <f t="shared" si="57"/>
        <v>-0.38268343236508989</v>
      </c>
      <c r="E131" s="8">
        <f t="shared" si="58"/>
        <v>0.92387953251128674</v>
      </c>
      <c r="F131" s="8" t="str">
        <f t="shared" si="62"/>
        <v>W5</v>
      </c>
      <c r="H131" s="8">
        <v>15</v>
      </c>
      <c r="I131" s="8">
        <v>3</v>
      </c>
      <c r="J131" s="8">
        <f t="shared" si="59"/>
        <v>17.671458676442583</v>
      </c>
      <c r="K131" s="8">
        <f t="shared" si="60"/>
        <v>0.38268343236508628</v>
      </c>
      <c r="L131" s="8">
        <f t="shared" si="61"/>
        <v>-0.92387953251128818</v>
      </c>
      <c r="M131" s="8" t="str">
        <f t="shared" si="63"/>
        <v>W13</v>
      </c>
    </row>
    <row r="132" spans="1:13" x14ac:dyDescent="0.3">
      <c r="A132" s="8">
        <v>7</v>
      </c>
      <c r="B132" s="8">
        <v>4</v>
      </c>
      <c r="C132" s="8">
        <f t="shared" si="56"/>
        <v>10.995574287564276</v>
      </c>
      <c r="D132" s="8">
        <f t="shared" si="57"/>
        <v>-4.28801959218017E-16</v>
      </c>
      <c r="E132" s="8">
        <f t="shared" si="58"/>
        <v>-1</v>
      </c>
      <c r="F132" s="8" t="str">
        <f t="shared" si="62"/>
        <v>W12</v>
      </c>
      <c r="H132" s="8">
        <v>15</v>
      </c>
      <c r="I132" s="8">
        <v>4</v>
      </c>
      <c r="J132" s="8">
        <f t="shared" si="59"/>
        <v>23.561944901923447</v>
      </c>
      <c r="K132" s="8">
        <f t="shared" si="60"/>
        <v>-2.6952181805817155E-15</v>
      </c>
      <c r="L132" s="8">
        <f t="shared" si="61"/>
        <v>-1</v>
      </c>
      <c r="M132" s="8" t="str">
        <f t="shared" si="63"/>
        <v>W12</v>
      </c>
    </row>
    <row r="133" spans="1:13" x14ac:dyDescent="0.3">
      <c r="A133" s="8">
        <v>7</v>
      </c>
      <c r="B133" s="8">
        <v>5</v>
      </c>
      <c r="C133" s="8">
        <f t="shared" si="56"/>
        <v>13.744467859455344</v>
      </c>
      <c r="D133" s="8">
        <f t="shared" si="57"/>
        <v>0.38268343236509067</v>
      </c>
      <c r="E133" s="8">
        <f t="shared" si="58"/>
        <v>0.92387953251128641</v>
      </c>
      <c r="F133" s="8" t="str">
        <f t="shared" si="62"/>
        <v>W3</v>
      </c>
      <c r="H133" s="8">
        <v>15</v>
      </c>
      <c r="I133" s="8">
        <v>5</v>
      </c>
      <c r="J133" s="8">
        <f t="shared" si="59"/>
        <v>29.45243112740431</v>
      </c>
      <c r="K133" s="8">
        <f t="shared" si="60"/>
        <v>-0.38268343236509123</v>
      </c>
      <c r="L133" s="8">
        <f t="shared" si="61"/>
        <v>-0.92387953251128618</v>
      </c>
      <c r="M133" s="8" t="str">
        <f t="shared" si="63"/>
        <v>W11</v>
      </c>
    </row>
    <row r="134" spans="1:13" x14ac:dyDescent="0.3">
      <c r="A134" s="8">
        <v>7</v>
      </c>
      <c r="B134" s="8">
        <v>6</v>
      </c>
      <c r="C134" s="8">
        <f t="shared" si="56"/>
        <v>16.493361431346415</v>
      </c>
      <c r="D134" s="8">
        <f t="shared" si="57"/>
        <v>-0.70710678118654735</v>
      </c>
      <c r="E134" s="8">
        <f t="shared" si="58"/>
        <v>-0.70710678118654768</v>
      </c>
      <c r="F134" s="8" t="str">
        <f t="shared" si="62"/>
        <v>W10</v>
      </c>
      <c r="H134" s="8">
        <v>15</v>
      </c>
      <c r="I134" s="8">
        <v>6</v>
      </c>
      <c r="J134" s="8">
        <f t="shared" si="59"/>
        <v>35.342917352885166</v>
      </c>
      <c r="K134" s="8">
        <f t="shared" si="60"/>
        <v>-0.7071067811865529</v>
      </c>
      <c r="L134" s="8">
        <f t="shared" si="61"/>
        <v>-0.70710678118654213</v>
      </c>
      <c r="M134" s="8" t="str">
        <f t="shared" si="63"/>
        <v>W10</v>
      </c>
    </row>
    <row r="135" spans="1:13" x14ac:dyDescent="0.3">
      <c r="A135" s="8">
        <v>7</v>
      </c>
      <c r="B135" s="8">
        <v>7</v>
      </c>
      <c r="C135" s="8">
        <f t="shared" si="56"/>
        <v>19.242255003237482</v>
      </c>
      <c r="D135" s="8">
        <f t="shared" si="57"/>
        <v>0.92387953251128752</v>
      </c>
      <c r="E135" s="8">
        <f t="shared" si="58"/>
        <v>0.38268343236508784</v>
      </c>
      <c r="F135" s="8" t="str">
        <f t="shared" si="62"/>
        <v>W1</v>
      </c>
      <c r="H135" s="8">
        <v>15</v>
      </c>
      <c r="I135" s="8">
        <v>7</v>
      </c>
      <c r="J135" s="8">
        <f t="shared" si="59"/>
        <v>41.23340357836603</v>
      </c>
      <c r="K135" s="8">
        <f t="shared" si="60"/>
        <v>-0.92387953251128929</v>
      </c>
      <c r="L135" s="8">
        <f t="shared" si="61"/>
        <v>-0.38268343236508379</v>
      </c>
      <c r="M135" s="8" t="str">
        <f t="shared" si="63"/>
        <v>W9</v>
      </c>
    </row>
    <row r="136" spans="1:13" x14ac:dyDescent="0.3">
      <c r="A136" s="8">
        <v>7</v>
      </c>
      <c r="B136" s="8">
        <v>8</v>
      </c>
      <c r="C136" s="8">
        <f t="shared" si="56"/>
        <v>21.991148575128552</v>
      </c>
      <c r="D136" s="8">
        <f t="shared" si="57"/>
        <v>-1</v>
      </c>
      <c r="E136" s="8">
        <f t="shared" si="58"/>
        <v>8.5760391843603401E-16</v>
      </c>
      <c r="F136" s="8" t="str">
        <f t="shared" si="62"/>
        <v>W8</v>
      </c>
      <c r="H136" s="8">
        <v>15</v>
      </c>
      <c r="I136" s="8">
        <v>8</v>
      </c>
      <c r="J136" s="8">
        <f t="shared" si="59"/>
        <v>47.123889803846893</v>
      </c>
      <c r="K136" s="8">
        <f t="shared" si="60"/>
        <v>-1</v>
      </c>
      <c r="L136" s="8">
        <f t="shared" si="61"/>
        <v>5.3904363611634309E-15</v>
      </c>
      <c r="M136" s="8" t="str">
        <f t="shared" si="63"/>
        <v>W8</v>
      </c>
    </row>
    <row r="137" spans="1:13" x14ac:dyDescent="0.3">
      <c r="A137" s="8">
        <v>7</v>
      </c>
      <c r="B137" s="8">
        <v>9</v>
      </c>
      <c r="C137" s="8">
        <f t="shared" si="56"/>
        <v>24.740042147019622</v>
      </c>
      <c r="D137" s="8">
        <f t="shared" si="57"/>
        <v>0.92387953251128685</v>
      </c>
      <c r="E137" s="8">
        <f t="shared" si="58"/>
        <v>-0.38268343236508945</v>
      </c>
      <c r="F137" s="8" t="str">
        <f t="shared" si="62"/>
        <v>W15</v>
      </c>
      <c r="H137" s="8">
        <v>15</v>
      </c>
      <c r="I137" s="8">
        <v>9</v>
      </c>
      <c r="J137" s="8">
        <f t="shared" si="59"/>
        <v>53.014376029327757</v>
      </c>
      <c r="K137" s="8">
        <f t="shared" si="60"/>
        <v>-0.92387953251128507</v>
      </c>
      <c r="L137" s="8">
        <f t="shared" si="61"/>
        <v>0.38268343236509372</v>
      </c>
      <c r="M137" s="8" t="str">
        <f t="shared" si="63"/>
        <v>W7</v>
      </c>
    </row>
    <row r="138" spans="1:13" x14ac:dyDescent="0.3">
      <c r="A138" s="8">
        <v>7</v>
      </c>
      <c r="B138" s="8">
        <v>10</v>
      </c>
      <c r="C138" s="8">
        <f t="shared" si="56"/>
        <v>27.488935718910689</v>
      </c>
      <c r="D138" s="8">
        <f t="shared" si="57"/>
        <v>-0.70710678118654613</v>
      </c>
      <c r="E138" s="8">
        <f t="shared" si="58"/>
        <v>0.70710678118654891</v>
      </c>
      <c r="F138" s="8" t="str">
        <f t="shared" si="62"/>
        <v>W6</v>
      </c>
      <c r="H138" s="8">
        <v>15</v>
      </c>
      <c r="I138" s="8">
        <v>10</v>
      </c>
      <c r="J138" s="8">
        <f t="shared" si="59"/>
        <v>58.90486225480862</v>
      </c>
      <c r="K138" s="8">
        <f t="shared" si="60"/>
        <v>-0.70710678118654524</v>
      </c>
      <c r="L138" s="8">
        <f t="shared" si="61"/>
        <v>0.70710678118654979</v>
      </c>
      <c r="M138" s="8" t="str">
        <f t="shared" si="63"/>
        <v>W6</v>
      </c>
    </row>
    <row r="139" spans="1:13" x14ac:dyDescent="0.3">
      <c r="A139" s="8">
        <v>7</v>
      </c>
      <c r="B139" s="8">
        <v>11</v>
      </c>
      <c r="C139" s="8">
        <f t="shared" si="56"/>
        <v>30.237829290801759</v>
      </c>
      <c r="D139" s="8">
        <f t="shared" si="57"/>
        <v>0.38268343236508912</v>
      </c>
      <c r="E139" s="8">
        <f t="shared" si="58"/>
        <v>-0.92387953251128707</v>
      </c>
      <c r="F139" s="8" t="str">
        <f t="shared" si="62"/>
        <v>W13</v>
      </c>
      <c r="H139" s="8">
        <v>15</v>
      </c>
      <c r="I139" s="8">
        <v>11</v>
      </c>
      <c r="J139" s="8">
        <f t="shared" si="59"/>
        <v>64.795348480289476</v>
      </c>
      <c r="K139" s="8">
        <f t="shared" si="60"/>
        <v>-0.38268343236508129</v>
      </c>
      <c r="L139" s="8">
        <f t="shared" si="61"/>
        <v>0.92387953251129029</v>
      </c>
      <c r="M139" s="8" t="str">
        <f t="shared" si="63"/>
        <v>W5</v>
      </c>
    </row>
    <row r="140" spans="1:13" x14ac:dyDescent="0.3">
      <c r="A140" s="8">
        <v>7</v>
      </c>
      <c r="B140" s="8">
        <v>12</v>
      </c>
      <c r="C140" s="8">
        <f t="shared" si="56"/>
        <v>32.986722862692829</v>
      </c>
      <c r="D140" s="8">
        <f t="shared" si="57"/>
        <v>-4.8995096174619945E-16</v>
      </c>
      <c r="E140" s="8">
        <f t="shared" si="58"/>
        <v>1</v>
      </c>
      <c r="F140" s="8" t="str">
        <f t="shared" si="62"/>
        <v>W4</v>
      </c>
      <c r="H140" s="8">
        <v>15</v>
      </c>
      <c r="I140" s="8">
        <v>12</v>
      </c>
      <c r="J140" s="8">
        <f t="shared" si="59"/>
        <v>70.685834705770333</v>
      </c>
      <c r="K140" s="8">
        <f t="shared" si="60"/>
        <v>1.5191081899346148E-14</v>
      </c>
      <c r="L140" s="8">
        <f t="shared" si="61"/>
        <v>1</v>
      </c>
      <c r="M140" s="8" t="str">
        <f t="shared" si="63"/>
        <v>W4</v>
      </c>
    </row>
    <row r="141" spans="1:13" x14ac:dyDescent="0.3">
      <c r="A141" s="8">
        <v>7</v>
      </c>
      <c r="B141" s="8">
        <v>13</v>
      </c>
      <c r="C141" s="8">
        <f t="shared" si="56"/>
        <v>35.735616434583896</v>
      </c>
      <c r="D141" s="8">
        <f t="shared" si="57"/>
        <v>-0.38268343236509145</v>
      </c>
      <c r="E141" s="8">
        <f t="shared" si="58"/>
        <v>-0.92387953251128607</v>
      </c>
      <c r="F141" s="8" t="str">
        <f t="shared" si="62"/>
        <v>W11</v>
      </c>
      <c r="H141" s="8">
        <v>15</v>
      </c>
      <c r="I141" s="8">
        <v>13</v>
      </c>
      <c r="J141" s="8">
        <f t="shared" si="59"/>
        <v>76.576320931251203</v>
      </c>
      <c r="K141" s="8">
        <f t="shared" si="60"/>
        <v>0.38268343236509622</v>
      </c>
      <c r="L141" s="8">
        <f t="shared" si="61"/>
        <v>0.92387953251128407</v>
      </c>
      <c r="M141" s="8" t="str">
        <f t="shared" si="63"/>
        <v>W3</v>
      </c>
    </row>
    <row r="142" spans="1:13" x14ac:dyDescent="0.3">
      <c r="A142" s="8">
        <v>7</v>
      </c>
      <c r="B142" s="8">
        <v>14</v>
      </c>
      <c r="C142" s="8">
        <f t="shared" si="56"/>
        <v>38.484510006474963</v>
      </c>
      <c r="D142" s="8">
        <f t="shared" si="57"/>
        <v>0.70710678118655046</v>
      </c>
      <c r="E142" s="8">
        <f t="shared" si="58"/>
        <v>0.70710678118654458</v>
      </c>
      <c r="F142" s="8" t="str">
        <f t="shared" si="62"/>
        <v>W2</v>
      </c>
      <c r="H142" s="8">
        <v>15</v>
      </c>
      <c r="I142" s="8">
        <v>14</v>
      </c>
      <c r="J142" s="8">
        <f t="shared" si="59"/>
        <v>82.46680715673206</v>
      </c>
      <c r="K142" s="8">
        <f t="shared" si="60"/>
        <v>0.70710678118655668</v>
      </c>
      <c r="L142" s="8">
        <f t="shared" si="61"/>
        <v>0.70710678118653836</v>
      </c>
      <c r="M142" s="8" t="str">
        <f t="shared" si="63"/>
        <v>W2</v>
      </c>
    </row>
    <row r="143" spans="1:13" x14ac:dyDescent="0.3">
      <c r="A143" s="8">
        <v>7</v>
      </c>
      <c r="B143" s="8">
        <v>15</v>
      </c>
      <c r="C143" s="8">
        <f t="shared" si="56"/>
        <v>41.233403578366037</v>
      </c>
      <c r="D143" s="8">
        <f t="shared" si="57"/>
        <v>-0.92387953251128652</v>
      </c>
      <c r="E143" s="8">
        <f t="shared" si="58"/>
        <v>-0.38268343236509034</v>
      </c>
      <c r="F143" s="8" t="str">
        <f t="shared" si="62"/>
        <v>W9</v>
      </c>
      <c r="H143" s="8">
        <v>15</v>
      </c>
      <c r="I143" s="8">
        <v>15</v>
      </c>
      <c r="J143" s="8">
        <f t="shared" si="59"/>
        <v>88.35729338221293</v>
      </c>
      <c r="K143" s="8">
        <f t="shared" si="60"/>
        <v>0.92387953251128863</v>
      </c>
      <c r="L143" s="8">
        <f t="shared" si="61"/>
        <v>0.38268343236508534</v>
      </c>
      <c r="M143" s="8" t="str">
        <f t="shared" si="63"/>
        <v>W1</v>
      </c>
    </row>
    <row r="145" s="7" customFormat="1" x14ac:dyDescent="0.3"/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Linda Navarro Figueroa</dc:creator>
  <cp:lastModifiedBy>Areli Alejandra Guevara Badillo</cp:lastModifiedBy>
  <dcterms:created xsi:type="dcterms:W3CDTF">2026-01-05T16:07:11Z</dcterms:created>
  <dcterms:modified xsi:type="dcterms:W3CDTF">2026-01-05T19:22:38Z</dcterms:modified>
</cp:coreProperties>
</file>