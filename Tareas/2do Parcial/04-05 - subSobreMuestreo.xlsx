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Tareas/2do Parcial/"/>
    </mc:Choice>
  </mc:AlternateContent>
  <xr:revisionPtr revIDLastSave="87" documentId="11_AD4D2F04E46CFB4ACB3E20E51517CCD0683EDF1F" xr6:coauthVersionLast="47" xr6:coauthVersionMax="47" xr10:uidLastSave="{B9339918-70DE-4511-979E-109F42B1FF01}"/>
  <bookViews>
    <workbookView xWindow="-108" yWindow="-108" windowWidth="23256" windowHeight="12456" xr2:uid="{00000000-000D-0000-FFFF-FFFF00000000}"/>
  </bookViews>
  <sheets>
    <sheet name="Sub_SobreMueste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2" i="1"/>
  <c r="H2" i="1"/>
  <c r="I2" i="1" s="1"/>
  <c r="G3" i="1"/>
  <c r="H3" i="1" s="1"/>
  <c r="I3" i="1" s="1"/>
  <c r="G2" i="1"/>
  <c r="E3" i="1"/>
  <c r="F3" i="1" s="1"/>
  <c r="E2" i="1"/>
  <c r="F2" i="1" s="1"/>
  <c r="C2" i="1"/>
  <c r="B3" i="1"/>
  <c r="C3" i="1" s="1"/>
  <c r="B2" i="1"/>
  <c r="A3" i="1"/>
  <c r="A4" i="1" l="1"/>
  <c r="E4" i="1" l="1"/>
  <c r="F4" i="1" s="1"/>
  <c r="A5" i="1"/>
  <c r="B4" i="1"/>
  <c r="C4" i="1" s="1"/>
  <c r="G4" i="1"/>
  <c r="H4" i="1" s="1"/>
  <c r="I4" i="1" s="1"/>
  <c r="B5" i="1" l="1"/>
  <c r="C5" i="1" s="1"/>
  <c r="E5" i="1"/>
  <c r="F5" i="1" s="1"/>
  <c r="A6" i="1"/>
  <c r="G5" i="1"/>
  <c r="H5" i="1" s="1"/>
  <c r="I5" i="1" s="1"/>
  <c r="G6" i="1" l="1"/>
  <c r="H6" i="1" s="1"/>
  <c r="I6" i="1" s="1"/>
  <c r="E6" i="1"/>
  <c r="F6" i="1" s="1"/>
  <c r="A7" i="1"/>
  <c r="B6" i="1"/>
  <c r="C6" i="1" s="1"/>
  <c r="G7" i="1" l="1"/>
  <c r="H7" i="1" s="1"/>
  <c r="I7" i="1" s="1"/>
  <c r="B7" i="1"/>
  <c r="C7" i="1" s="1"/>
  <c r="E7" i="1"/>
  <c r="F7" i="1" s="1"/>
  <c r="A8" i="1"/>
  <c r="G8" i="1" l="1"/>
  <c r="H8" i="1" s="1"/>
  <c r="I8" i="1" s="1"/>
  <c r="B8" i="1"/>
  <c r="C8" i="1" s="1"/>
  <c r="E8" i="1"/>
  <c r="F8" i="1" s="1"/>
  <c r="A9" i="1"/>
  <c r="G9" i="1" l="1"/>
  <c r="H9" i="1" s="1"/>
  <c r="I9" i="1" s="1"/>
  <c r="E9" i="1"/>
  <c r="F9" i="1" s="1"/>
  <c r="A10" i="1"/>
  <c r="B9" i="1"/>
  <c r="C9" i="1" s="1"/>
  <c r="G10" i="1" l="1"/>
  <c r="H10" i="1" s="1"/>
  <c r="I10" i="1" s="1"/>
  <c r="B10" i="1"/>
  <c r="C10" i="1" s="1"/>
  <c r="E10" i="1"/>
  <c r="F10" i="1" s="1"/>
  <c r="A11" i="1"/>
  <c r="G11" i="1" l="1"/>
  <c r="H11" i="1" s="1"/>
  <c r="I11" i="1" s="1"/>
  <c r="B11" i="1"/>
  <c r="C11" i="1" s="1"/>
  <c r="E11" i="1"/>
  <c r="F11" i="1" s="1"/>
  <c r="A12" i="1"/>
  <c r="A13" i="1" l="1"/>
  <c r="G12" i="1"/>
  <c r="H12" i="1" s="1"/>
  <c r="I12" i="1" s="1"/>
  <c r="E12" i="1"/>
  <c r="F12" i="1" s="1"/>
  <c r="B12" i="1"/>
  <c r="C12" i="1" s="1"/>
  <c r="A14" i="1" l="1"/>
  <c r="G13" i="1"/>
  <c r="H13" i="1" s="1"/>
  <c r="I13" i="1" s="1"/>
  <c r="E13" i="1"/>
  <c r="F13" i="1" s="1"/>
  <c r="B13" i="1"/>
  <c r="C13" i="1" s="1"/>
  <c r="A15" i="1" l="1"/>
  <c r="B14" i="1"/>
  <c r="C14" i="1" s="1"/>
  <c r="G14" i="1"/>
  <c r="H14" i="1" s="1"/>
  <c r="I14" i="1" s="1"/>
  <c r="E14" i="1"/>
  <c r="F14" i="1" s="1"/>
  <c r="A16" i="1" l="1"/>
  <c r="E15" i="1"/>
  <c r="F15" i="1" s="1"/>
  <c r="B15" i="1"/>
  <c r="C15" i="1" s="1"/>
  <c r="G15" i="1"/>
  <c r="H15" i="1" s="1"/>
  <c r="I15" i="1" s="1"/>
  <c r="A17" i="1" l="1"/>
  <c r="E16" i="1"/>
  <c r="F16" i="1" s="1"/>
  <c r="G16" i="1"/>
  <c r="H16" i="1" s="1"/>
  <c r="I16" i="1" s="1"/>
  <c r="B16" i="1"/>
  <c r="C16" i="1" s="1"/>
  <c r="A18" i="1" l="1"/>
  <c r="B17" i="1"/>
  <c r="C17" i="1" s="1"/>
  <c r="E17" i="1"/>
  <c r="F17" i="1" s="1"/>
  <c r="G17" i="1"/>
  <c r="H17" i="1" s="1"/>
  <c r="I17" i="1" s="1"/>
  <c r="A19" i="1" l="1"/>
  <c r="G18" i="1"/>
  <c r="H18" i="1" s="1"/>
  <c r="I18" i="1" s="1"/>
  <c r="E18" i="1"/>
  <c r="F18" i="1" s="1"/>
  <c r="B18" i="1"/>
  <c r="C18" i="1" s="1"/>
  <c r="A20" i="1" l="1"/>
  <c r="G19" i="1"/>
  <c r="H19" i="1" s="1"/>
  <c r="I19" i="1" s="1"/>
  <c r="B19" i="1"/>
  <c r="C19" i="1" s="1"/>
  <c r="E19" i="1"/>
  <c r="F19" i="1" s="1"/>
  <c r="A21" i="1" l="1"/>
  <c r="G20" i="1"/>
  <c r="H20" i="1" s="1"/>
  <c r="I20" i="1" s="1"/>
  <c r="B20" i="1"/>
  <c r="C20" i="1" s="1"/>
  <c r="E20" i="1"/>
  <c r="F20" i="1" s="1"/>
  <c r="A22" i="1" l="1"/>
  <c r="G21" i="1"/>
  <c r="H21" i="1" s="1"/>
  <c r="I21" i="1" s="1"/>
  <c r="E21" i="1"/>
  <c r="F21" i="1" s="1"/>
  <c r="B21" i="1"/>
  <c r="C21" i="1" s="1"/>
  <c r="A23" i="1" l="1"/>
  <c r="G22" i="1"/>
  <c r="H22" i="1" s="1"/>
  <c r="I22" i="1" s="1"/>
  <c r="B22" i="1"/>
  <c r="C22" i="1" s="1"/>
  <c r="E22" i="1"/>
  <c r="F22" i="1" s="1"/>
  <c r="A24" i="1" l="1"/>
  <c r="G23" i="1"/>
  <c r="H23" i="1" s="1"/>
  <c r="I23" i="1" s="1"/>
  <c r="B23" i="1"/>
  <c r="C23" i="1" s="1"/>
  <c r="E23" i="1"/>
  <c r="F23" i="1" s="1"/>
  <c r="A25" i="1" l="1"/>
  <c r="G24" i="1"/>
  <c r="H24" i="1" s="1"/>
  <c r="I24" i="1" s="1"/>
  <c r="E24" i="1"/>
  <c r="F24" i="1" s="1"/>
  <c r="B24" i="1"/>
  <c r="C24" i="1" s="1"/>
  <c r="A26" i="1" l="1"/>
  <c r="E25" i="1"/>
  <c r="F25" i="1" s="1"/>
  <c r="B25" i="1"/>
  <c r="C25" i="1" s="1"/>
  <c r="G25" i="1"/>
  <c r="H25" i="1" s="1"/>
  <c r="I25" i="1" s="1"/>
  <c r="A27" i="1" l="1"/>
  <c r="E26" i="1"/>
  <c r="F26" i="1" s="1"/>
  <c r="G26" i="1"/>
  <c r="H26" i="1" s="1"/>
  <c r="I26" i="1" s="1"/>
  <c r="B26" i="1"/>
  <c r="C26" i="1" s="1"/>
  <c r="A28" i="1" l="1"/>
  <c r="E27" i="1"/>
  <c r="F27" i="1" s="1"/>
  <c r="G27" i="1"/>
  <c r="H27" i="1" s="1"/>
  <c r="I27" i="1" s="1"/>
  <c r="B27" i="1"/>
  <c r="C27" i="1" s="1"/>
  <c r="A29" i="1" l="1"/>
  <c r="E28" i="1"/>
  <c r="F28" i="1" s="1"/>
  <c r="G28" i="1"/>
  <c r="H28" i="1" s="1"/>
  <c r="I28" i="1" s="1"/>
  <c r="B28" i="1"/>
  <c r="C28" i="1" s="1"/>
  <c r="A30" i="1" l="1"/>
  <c r="B29" i="1"/>
  <c r="C29" i="1" s="1"/>
  <c r="E29" i="1"/>
  <c r="F29" i="1" s="1"/>
  <c r="G29" i="1"/>
  <c r="H29" i="1" s="1"/>
  <c r="I29" i="1" s="1"/>
  <c r="A31" i="1" l="1"/>
  <c r="G30" i="1"/>
  <c r="H30" i="1" s="1"/>
  <c r="I30" i="1" s="1"/>
  <c r="E30" i="1"/>
  <c r="F30" i="1" s="1"/>
  <c r="B30" i="1"/>
  <c r="C30" i="1" s="1"/>
  <c r="A32" i="1" l="1"/>
  <c r="G31" i="1"/>
  <c r="H31" i="1" s="1"/>
  <c r="I31" i="1" s="1"/>
  <c r="B31" i="1"/>
  <c r="C31" i="1" s="1"/>
  <c r="E31" i="1"/>
  <c r="F31" i="1" s="1"/>
  <c r="A33" i="1" l="1"/>
  <c r="G32" i="1"/>
  <c r="H32" i="1" s="1"/>
  <c r="I32" i="1" s="1"/>
  <c r="B32" i="1"/>
  <c r="C32" i="1" s="1"/>
  <c r="E32" i="1"/>
  <c r="F32" i="1" s="1"/>
  <c r="A34" i="1" l="1"/>
  <c r="G33" i="1"/>
  <c r="H33" i="1" s="1"/>
  <c r="I33" i="1" s="1"/>
  <c r="E33" i="1"/>
  <c r="F33" i="1" s="1"/>
  <c r="B33" i="1"/>
  <c r="C33" i="1" s="1"/>
  <c r="A35" i="1" l="1"/>
  <c r="G34" i="1"/>
  <c r="H34" i="1" s="1"/>
  <c r="I34" i="1" s="1"/>
  <c r="B34" i="1"/>
  <c r="C34" i="1" s="1"/>
  <c r="E34" i="1"/>
  <c r="F34" i="1" s="1"/>
  <c r="A36" i="1" l="1"/>
  <c r="G35" i="1"/>
  <c r="H35" i="1" s="1"/>
  <c r="I35" i="1" s="1"/>
  <c r="B35" i="1"/>
  <c r="C35" i="1" s="1"/>
  <c r="E35" i="1"/>
  <c r="F35" i="1" s="1"/>
  <c r="A37" i="1" l="1"/>
  <c r="G36" i="1"/>
  <c r="H36" i="1" s="1"/>
  <c r="I36" i="1" s="1"/>
  <c r="B36" i="1"/>
  <c r="C36" i="1" s="1"/>
  <c r="E36" i="1"/>
  <c r="F36" i="1" s="1"/>
  <c r="A38" i="1" l="1"/>
  <c r="B37" i="1"/>
  <c r="C37" i="1" s="1"/>
  <c r="E37" i="1"/>
  <c r="F37" i="1" s="1"/>
  <c r="G37" i="1"/>
  <c r="H37" i="1" s="1"/>
  <c r="I37" i="1" s="1"/>
  <c r="A39" i="1" l="1"/>
  <c r="G38" i="1"/>
  <c r="H38" i="1" s="1"/>
  <c r="I38" i="1" s="1"/>
  <c r="B38" i="1"/>
  <c r="C38" i="1" s="1"/>
  <c r="E38" i="1"/>
  <c r="F38" i="1" s="1"/>
  <c r="A40" i="1" l="1"/>
  <c r="E39" i="1"/>
  <c r="F39" i="1" s="1"/>
  <c r="G39" i="1"/>
  <c r="H39" i="1" s="1"/>
  <c r="I39" i="1" s="1"/>
  <c r="B39" i="1"/>
  <c r="C39" i="1" s="1"/>
  <c r="A41" i="1" l="1"/>
  <c r="E40" i="1"/>
  <c r="F40" i="1" s="1"/>
  <c r="G40" i="1"/>
  <c r="H40" i="1" s="1"/>
  <c r="I40" i="1" s="1"/>
  <c r="B40" i="1"/>
  <c r="C40" i="1" s="1"/>
  <c r="A42" i="1" l="1"/>
  <c r="B41" i="1"/>
  <c r="C41" i="1" s="1"/>
  <c r="E41" i="1"/>
  <c r="F41" i="1" s="1"/>
  <c r="G41" i="1"/>
  <c r="H41" i="1" s="1"/>
  <c r="I41" i="1" s="1"/>
  <c r="A43" i="1" l="1"/>
  <c r="G42" i="1"/>
  <c r="H42" i="1" s="1"/>
  <c r="I42" i="1" s="1"/>
  <c r="E42" i="1"/>
  <c r="F42" i="1" s="1"/>
  <c r="B42" i="1"/>
  <c r="C42" i="1" s="1"/>
  <c r="A44" i="1" l="1"/>
  <c r="G43" i="1"/>
  <c r="H43" i="1" s="1"/>
  <c r="I43" i="1" s="1"/>
  <c r="B43" i="1"/>
  <c r="C43" i="1" s="1"/>
  <c r="E43" i="1"/>
  <c r="F43" i="1" s="1"/>
  <c r="A45" i="1" l="1"/>
  <c r="G44" i="1"/>
  <c r="H44" i="1" s="1"/>
  <c r="I44" i="1" s="1"/>
  <c r="B44" i="1"/>
  <c r="C44" i="1" s="1"/>
  <c r="E44" i="1"/>
  <c r="F44" i="1" s="1"/>
  <c r="A46" i="1" l="1"/>
  <c r="G45" i="1"/>
  <c r="H45" i="1" s="1"/>
  <c r="I45" i="1" s="1"/>
  <c r="E45" i="1"/>
  <c r="F45" i="1" s="1"/>
  <c r="B45" i="1"/>
  <c r="C45" i="1" s="1"/>
  <c r="A47" i="1" l="1"/>
  <c r="G46" i="1"/>
  <c r="H46" i="1" s="1"/>
  <c r="I46" i="1" s="1"/>
  <c r="B46" i="1"/>
  <c r="C46" i="1" s="1"/>
  <c r="E46" i="1"/>
  <c r="F46" i="1" s="1"/>
  <c r="A48" i="1" l="1"/>
  <c r="G47" i="1"/>
  <c r="H47" i="1" s="1"/>
  <c r="I47" i="1" s="1"/>
  <c r="B47" i="1"/>
  <c r="C47" i="1" s="1"/>
  <c r="E47" i="1"/>
  <c r="F47" i="1" s="1"/>
  <c r="A49" i="1" l="1"/>
  <c r="G48" i="1"/>
  <c r="H48" i="1" s="1"/>
  <c r="I48" i="1" s="1"/>
  <c r="E48" i="1"/>
  <c r="F48" i="1" s="1"/>
  <c r="B48" i="1"/>
  <c r="C48" i="1" s="1"/>
  <c r="A50" i="1" l="1"/>
  <c r="E49" i="1"/>
  <c r="F49" i="1" s="1"/>
  <c r="G49" i="1"/>
  <c r="H49" i="1" s="1"/>
  <c r="I49" i="1" s="1"/>
  <c r="B49" i="1"/>
  <c r="C49" i="1" s="1"/>
  <c r="A51" i="1" l="1"/>
  <c r="E50" i="1"/>
  <c r="F50" i="1" s="1"/>
  <c r="G50" i="1"/>
  <c r="H50" i="1" s="1"/>
  <c r="I50" i="1" s="1"/>
  <c r="B50" i="1"/>
  <c r="C50" i="1" s="1"/>
  <c r="A52" i="1" l="1"/>
  <c r="E51" i="1"/>
  <c r="F51" i="1" s="1"/>
  <c r="G51" i="1"/>
  <c r="H51" i="1" s="1"/>
  <c r="I51" i="1" s="1"/>
  <c r="B51" i="1"/>
  <c r="C51" i="1" s="1"/>
  <c r="A53" i="1" l="1"/>
  <c r="E52" i="1"/>
  <c r="F52" i="1" s="1"/>
  <c r="G52" i="1"/>
  <c r="H52" i="1" s="1"/>
  <c r="I52" i="1" s="1"/>
  <c r="B52" i="1"/>
  <c r="C52" i="1" s="1"/>
  <c r="A54" i="1" l="1"/>
  <c r="B53" i="1"/>
  <c r="C53" i="1" s="1"/>
  <c r="E53" i="1"/>
  <c r="F53" i="1" s="1"/>
  <c r="G53" i="1"/>
  <c r="H53" i="1" s="1"/>
  <c r="I53" i="1" s="1"/>
  <c r="A55" i="1" l="1"/>
  <c r="G54" i="1"/>
  <c r="H54" i="1" s="1"/>
  <c r="I54" i="1" s="1"/>
  <c r="E54" i="1"/>
  <c r="F54" i="1" s="1"/>
  <c r="B54" i="1"/>
  <c r="C54" i="1" s="1"/>
  <c r="A56" i="1" l="1"/>
  <c r="G55" i="1"/>
  <c r="H55" i="1" s="1"/>
  <c r="I55" i="1" s="1"/>
  <c r="B55" i="1"/>
  <c r="C55" i="1" s="1"/>
  <c r="E55" i="1"/>
  <c r="F55" i="1" s="1"/>
  <c r="A57" i="1" l="1"/>
  <c r="G56" i="1"/>
  <c r="H56" i="1" s="1"/>
  <c r="I56" i="1" s="1"/>
  <c r="B56" i="1"/>
  <c r="C56" i="1" s="1"/>
  <c r="E56" i="1"/>
  <c r="F56" i="1" s="1"/>
  <c r="A58" i="1" l="1"/>
  <c r="G57" i="1"/>
  <c r="H57" i="1" s="1"/>
  <c r="I57" i="1" s="1"/>
  <c r="E57" i="1"/>
  <c r="F57" i="1" s="1"/>
  <c r="B57" i="1"/>
  <c r="C57" i="1" s="1"/>
  <c r="A59" i="1" l="1"/>
  <c r="G58" i="1"/>
  <c r="H58" i="1" s="1"/>
  <c r="I58" i="1" s="1"/>
  <c r="B58" i="1"/>
  <c r="C58" i="1" s="1"/>
  <c r="E58" i="1"/>
  <c r="F58" i="1" s="1"/>
  <c r="A60" i="1" l="1"/>
  <c r="G59" i="1"/>
  <c r="H59" i="1" s="1"/>
  <c r="I59" i="1" s="1"/>
  <c r="B59" i="1"/>
  <c r="C59" i="1" s="1"/>
  <c r="E59" i="1"/>
  <c r="F59" i="1" s="1"/>
  <c r="A61" i="1" l="1"/>
  <c r="G60" i="1"/>
  <c r="H60" i="1" s="1"/>
  <c r="I60" i="1" s="1"/>
  <c r="B60" i="1"/>
  <c r="C60" i="1" s="1"/>
  <c r="E60" i="1"/>
  <c r="F60" i="1" s="1"/>
  <c r="A62" i="1" l="1"/>
  <c r="B61" i="1"/>
  <c r="C61" i="1" s="1"/>
  <c r="E61" i="1"/>
  <c r="F61" i="1" s="1"/>
  <c r="G61" i="1"/>
  <c r="H61" i="1" s="1"/>
  <c r="I61" i="1" s="1"/>
  <c r="A63" i="1" l="1"/>
  <c r="B62" i="1"/>
  <c r="C62" i="1" s="1"/>
  <c r="E62" i="1"/>
  <c r="F62" i="1" s="1"/>
  <c r="G62" i="1"/>
  <c r="H62" i="1" s="1"/>
  <c r="I62" i="1" s="1"/>
  <c r="A64" i="1" l="1"/>
  <c r="E63" i="1"/>
  <c r="F63" i="1" s="1"/>
  <c r="B63" i="1"/>
  <c r="C63" i="1" s="1"/>
  <c r="G63" i="1"/>
  <c r="H63" i="1" s="1"/>
  <c r="I63" i="1" s="1"/>
  <c r="A65" i="1" l="1"/>
  <c r="E64" i="1"/>
  <c r="F64" i="1" s="1"/>
  <c r="G64" i="1"/>
  <c r="H64" i="1" s="1"/>
  <c r="I64" i="1" s="1"/>
  <c r="B64" i="1"/>
  <c r="C64" i="1" s="1"/>
  <c r="A66" i="1" l="1"/>
  <c r="B65" i="1"/>
  <c r="C65" i="1" s="1"/>
  <c r="E65" i="1"/>
  <c r="F65" i="1" s="1"/>
  <c r="G65" i="1"/>
  <c r="H65" i="1" s="1"/>
  <c r="I65" i="1" s="1"/>
  <c r="A67" i="1" l="1"/>
  <c r="G66" i="1"/>
  <c r="H66" i="1" s="1"/>
  <c r="I66" i="1" s="1"/>
  <c r="E66" i="1"/>
  <c r="F66" i="1" s="1"/>
  <c r="B66" i="1"/>
  <c r="C66" i="1" s="1"/>
  <c r="A68" i="1" l="1"/>
  <c r="G67" i="1"/>
  <c r="H67" i="1" s="1"/>
  <c r="I67" i="1" s="1"/>
  <c r="B67" i="1"/>
  <c r="C67" i="1" s="1"/>
  <c r="E67" i="1"/>
  <c r="F67" i="1" s="1"/>
  <c r="A69" i="1" l="1"/>
  <c r="G68" i="1"/>
  <c r="H68" i="1" s="1"/>
  <c r="I68" i="1" s="1"/>
  <c r="B68" i="1"/>
  <c r="C68" i="1" s="1"/>
  <c r="E68" i="1"/>
  <c r="F68" i="1" s="1"/>
  <c r="A70" i="1" l="1"/>
  <c r="G69" i="1"/>
  <c r="H69" i="1" s="1"/>
  <c r="I69" i="1" s="1"/>
  <c r="E69" i="1"/>
  <c r="F69" i="1" s="1"/>
  <c r="B69" i="1"/>
  <c r="C69" i="1" s="1"/>
  <c r="A71" i="1" l="1"/>
  <c r="G70" i="1"/>
  <c r="H70" i="1" s="1"/>
  <c r="I70" i="1" s="1"/>
  <c r="B70" i="1"/>
  <c r="C70" i="1" s="1"/>
  <c r="E70" i="1"/>
  <c r="F70" i="1" s="1"/>
  <c r="A72" i="1" l="1"/>
  <c r="G71" i="1"/>
  <c r="H71" i="1" s="1"/>
  <c r="I71" i="1" s="1"/>
  <c r="B71" i="1"/>
  <c r="C71" i="1" s="1"/>
  <c r="E71" i="1"/>
  <c r="F71" i="1" s="1"/>
  <c r="A73" i="1" l="1"/>
  <c r="G72" i="1"/>
  <c r="H72" i="1" s="1"/>
  <c r="I72" i="1" s="1"/>
  <c r="E72" i="1"/>
  <c r="F72" i="1" s="1"/>
  <c r="B72" i="1"/>
  <c r="C72" i="1" s="1"/>
  <c r="A74" i="1" l="1"/>
  <c r="E73" i="1"/>
  <c r="F73" i="1" s="1"/>
  <c r="G73" i="1"/>
  <c r="H73" i="1" s="1"/>
  <c r="I73" i="1" s="1"/>
  <c r="B73" i="1"/>
  <c r="C73" i="1" s="1"/>
  <c r="A75" i="1" l="1"/>
  <c r="E74" i="1"/>
  <c r="F74" i="1" s="1"/>
  <c r="G74" i="1"/>
  <c r="H74" i="1" s="1"/>
  <c r="I74" i="1" s="1"/>
  <c r="B74" i="1"/>
  <c r="C74" i="1" s="1"/>
  <c r="A76" i="1" l="1"/>
  <c r="E75" i="1"/>
  <c r="F75" i="1" s="1"/>
  <c r="B75" i="1"/>
  <c r="C75" i="1" s="1"/>
  <c r="G75" i="1"/>
  <c r="H75" i="1" s="1"/>
  <c r="I75" i="1" s="1"/>
  <c r="A77" i="1" l="1"/>
  <c r="B76" i="1"/>
  <c r="C76" i="1" s="1"/>
  <c r="E76" i="1"/>
  <c r="F76" i="1" s="1"/>
  <c r="G76" i="1"/>
  <c r="H76" i="1" s="1"/>
  <c r="I76" i="1" s="1"/>
  <c r="A78" i="1" l="1"/>
  <c r="B77" i="1"/>
  <c r="C77" i="1" s="1"/>
  <c r="E77" i="1"/>
  <c r="F77" i="1" s="1"/>
  <c r="G77" i="1"/>
  <c r="H77" i="1" s="1"/>
  <c r="I77" i="1" s="1"/>
  <c r="A79" i="1" l="1"/>
  <c r="G78" i="1"/>
  <c r="H78" i="1" s="1"/>
  <c r="I78" i="1" s="1"/>
  <c r="E78" i="1"/>
  <c r="F78" i="1" s="1"/>
  <c r="B78" i="1"/>
  <c r="C78" i="1" s="1"/>
  <c r="A80" i="1" l="1"/>
  <c r="G79" i="1"/>
  <c r="H79" i="1" s="1"/>
  <c r="I79" i="1" s="1"/>
  <c r="B79" i="1"/>
  <c r="C79" i="1" s="1"/>
  <c r="E79" i="1"/>
  <c r="F79" i="1" s="1"/>
  <c r="A81" i="1" l="1"/>
  <c r="G80" i="1"/>
  <c r="H80" i="1" s="1"/>
  <c r="I80" i="1" s="1"/>
  <c r="B80" i="1"/>
  <c r="C80" i="1" s="1"/>
  <c r="E80" i="1"/>
  <c r="F80" i="1" s="1"/>
  <c r="A82" i="1" l="1"/>
  <c r="G81" i="1"/>
  <c r="H81" i="1" s="1"/>
  <c r="I81" i="1" s="1"/>
  <c r="E81" i="1"/>
  <c r="F81" i="1" s="1"/>
  <c r="B81" i="1"/>
  <c r="C81" i="1" s="1"/>
  <c r="A83" i="1" l="1"/>
  <c r="G82" i="1"/>
  <c r="H82" i="1" s="1"/>
  <c r="I82" i="1" s="1"/>
  <c r="B82" i="1"/>
  <c r="C82" i="1" s="1"/>
  <c r="E82" i="1"/>
  <c r="F82" i="1" s="1"/>
  <c r="A84" i="1" l="1"/>
  <c r="G83" i="1"/>
  <c r="H83" i="1" s="1"/>
  <c r="I83" i="1" s="1"/>
  <c r="B83" i="1"/>
  <c r="C83" i="1" s="1"/>
  <c r="E83" i="1"/>
  <c r="F83" i="1" s="1"/>
  <c r="A85" i="1" l="1"/>
  <c r="G84" i="1"/>
  <c r="H84" i="1" s="1"/>
  <c r="I84" i="1" s="1"/>
  <c r="B84" i="1"/>
  <c r="C84" i="1" s="1"/>
  <c r="E84" i="1"/>
  <c r="F84" i="1" s="1"/>
  <c r="A86" i="1" l="1"/>
  <c r="B85" i="1"/>
  <c r="C85" i="1" s="1"/>
  <c r="G85" i="1"/>
  <c r="H85" i="1" s="1"/>
  <c r="I85" i="1" s="1"/>
  <c r="E85" i="1"/>
  <c r="F85" i="1" s="1"/>
  <c r="A87" i="1" l="1"/>
  <c r="B86" i="1"/>
  <c r="C86" i="1" s="1"/>
  <c r="E86" i="1"/>
  <c r="F86" i="1" s="1"/>
  <c r="G86" i="1"/>
  <c r="H86" i="1" s="1"/>
  <c r="I86" i="1" s="1"/>
  <c r="A88" i="1" l="1"/>
  <c r="E87" i="1"/>
  <c r="F87" i="1" s="1"/>
  <c r="B87" i="1"/>
  <c r="C87" i="1" s="1"/>
  <c r="G87" i="1"/>
  <c r="H87" i="1" s="1"/>
  <c r="I87" i="1" s="1"/>
  <c r="A89" i="1" l="1"/>
  <c r="B88" i="1"/>
  <c r="C88" i="1" s="1"/>
  <c r="G88" i="1"/>
  <c r="H88" i="1" s="1"/>
  <c r="I88" i="1" s="1"/>
  <c r="E88" i="1"/>
  <c r="F88" i="1" s="1"/>
  <c r="A90" i="1" l="1"/>
  <c r="B89" i="1"/>
  <c r="C89" i="1" s="1"/>
  <c r="E89" i="1"/>
  <c r="F89" i="1" s="1"/>
  <c r="G89" i="1"/>
  <c r="H89" i="1" s="1"/>
  <c r="I89" i="1" s="1"/>
  <c r="A91" i="1" l="1"/>
  <c r="G90" i="1"/>
  <c r="H90" i="1" s="1"/>
  <c r="I90" i="1" s="1"/>
  <c r="E90" i="1"/>
  <c r="F90" i="1" s="1"/>
  <c r="B90" i="1"/>
  <c r="C90" i="1" s="1"/>
  <c r="A92" i="1" l="1"/>
  <c r="G91" i="1"/>
  <c r="H91" i="1" s="1"/>
  <c r="I91" i="1" s="1"/>
  <c r="B91" i="1"/>
  <c r="C91" i="1" s="1"/>
  <c r="E91" i="1"/>
  <c r="F91" i="1" s="1"/>
  <c r="A93" i="1" l="1"/>
  <c r="G92" i="1"/>
  <c r="H92" i="1" s="1"/>
  <c r="I92" i="1" s="1"/>
  <c r="B92" i="1"/>
  <c r="C92" i="1" s="1"/>
  <c r="E92" i="1"/>
  <c r="F92" i="1" s="1"/>
  <c r="A94" i="1" l="1"/>
  <c r="G93" i="1"/>
  <c r="H93" i="1" s="1"/>
  <c r="I93" i="1" s="1"/>
  <c r="E93" i="1"/>
  <c r="F93" i="1" s="1"/>
  <c r="B93" i="1"/>
  <c r="C93" i="1" s="1"/>
  <c r="A95" i="1" l="1"/>
  <c r="G94" i="1"/>
  <c r="H94" i="1" s="1"/>
  <c r="I94" i="1" s="1"/>
  <c r="B94" i="1"/>
  <c r="C94" i="1" s="1"/>
  <c r="E94" i="1"/>
  <c r="F94" i="1" s="1"/>
  <c r="A96" i="1" l="1"/>
  <c r="G95" i="1"/>
  <c r="H95" i="1" s="1"/>
  <c r="I95" i="1" s="1"/>
  <c r="B95" i="1"/>
  <c r="C95" i="1" s="1"/>
  <c r="E95" i="1"/>
  <c r="F95" i="1" s="1"/>
  <c r="A97" i="1" l="1"/>
  <c r="G96" i="1"/>
  <c r="H96" i="1" s="1"/>
  <c r="I96" i="1" s="1"/>
  <c r="E96" i="1"/>
  <c r="F96" i="1" s="1"/>
  <c r="B96" i="1"/>
  <c r="C96" i="1" s="1"/>
  <c r="A98" i="1" l="1"/>
  <c r="G97" i="1"/>
  <c r="H97" i="1" s="1"/>
  <c r="I97" i="1" s="1"/>
  <c r="B97" i="1"/>
  <c r="C97" i="1" s="1"/>
  <c r="E97" i="1"/>
  <c r="F97" i="1" s="1"/>
  <c r="A99" i="1" l="1"/>
  <c r="G98" i="1"/>
  <c r="H98" i="1" s="1"/>
  <c r="I98" i="1" s="1"/>
  <c r="B98" i="1"/>
  <c r="C98" i="1" s="1"/>
  <c r="E98" i="1"/>
  <c r="F98" i="1" s="1"/>
  <c r="A100" i="1" l="1"/>
  <c r="E99" i="1"/>
  <c r="F99" i="1" s="1"/>
  <c r="G99" i="1"/>
  <c r="H99" i="1" s="1"/>
  <c r="I99" i="1" s="1"/>
  <c r="B99" i="1"/>
  <c r="C99" i="1" s="1"/>
  <c r="A101" i="1" l="1"/>
  <c r="G100" i="1"/>
  <c r="H100" i="1" s="1"/>
  <c r="I100" i="1" s="1"/>
  <c r="B100" i="1"/>
  <c r="C100" i="1" s="1"/>
  <c r="E100" i="1"/>
  <c r="F100" i="1" s="1"/>
  <c r="A102" i="1" l="1"/>
  <c r="B101" i="1"/>
  <c r="C101" i="1" s="1"/>
  <c r="E101" i="1"/>
  <c r="F101" i="1" s="1"/>
  <c r="G101" i="1"/>
  <c r="H101" i="1" s="1"/>
  <c r="I101" i="1" s="1"/>
  <c r="G102" i="1" l="1"/>
  <c r="H102" i="1" s="1"/>
  <c r="I102" i="1" s="1"/>
  <c r="E102" i="1"/>
  <c r="F102" i="1" s="1"/>
  <c r="B102" i="1"/>
  <c r="C102" i="1" s="1"/>
</calcChain>
</file>

<file path=xl/sharedStrings.xml><?xml version="1.0" encoding="utf-8"?>
<sst xmlns="http://schemas.openxmlformats.org/spreadsheetml/2006/main" count="9" uniqueCount="9">
  <si>
    <t>t</t>
  </si>
  <si>
    <t>arg0</t>
  </si>
  <si>
    <t>x0</t>
  </si>
  <si>
    <t>Tss</t>
  </si>
  <si>
    <t>arg1</t>
  </si>
  <si>
    <t>x1</t>
  </si>
  <si>
    <t>arg2</t>
  </si>
  <si>
    <t>Tss2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</si>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</sst>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Sub_SobreMuestero!$I$1</c:f>
              <c:strCache>
                <c:ptCount val="1"/>
                <c:pt idx="0">
                  <c:v>X2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Sub_SobreMuestero!$G$2:$G$102</c:f>
              <c:numCache>
                <c:formatCode>General</c:formatCode>
                <c:ptCount val="101"/>
                <c:pt idx="0">
                  <c:v>0</c:v>
                </c:pt>
                <c:pt idx="1">
                  <c:v>3.3333333333333335E-3</c:v>
                </c:pt>
                <c:pt idx="2">
                  <c:v>6.6666666666666671E-3</c:v>
                </c:pt>
                <c:pt idx="3">
                  <c:v>0.01</c:v>
                </c:pt>
                <c:pt idx="4">
                  <c:v>1.3333333333333334E-2</c:v>
                </c:pt>
                <c:pt idx="5">
                  <c:v>1.6666666666666666E-2</c:v>
                </c:pt>
                <c:pt idx="6">
                  <c:v>0.02</c:v>
                </c:pt>
                <c:pt idx="7">
                  <c:v>2.3333333333333334E-2</c:v>
                </c:pt>
                <c:pt idx="8">
                  <c:v>2.6666666666666668E-2</c:v>
                </c:pt>
                <c:pt idx="9">
                  <c:v>0.03</c:v>
                </c:pt>
                <c:pt idx="10">
                  <c:v>3.3333333333333333E-2</c:v>
                </c:pt>
                <c:pt idx="11">
                  <c:v>3.666666666666666E-2</c:v>
                </c:pt>
                <c:pt idx="12">
                  <c:v>3.9999999999999994E-2</c:v>
                </c:pt>
                <c:pt idx="13">
                  <c:v>4.3333333333333328E-2</c:v>
                </c:pt>
                <c:pt idx="14">
                  <c:v>4.6666666666666662E-2</c:v>
                </c:pt>
                <c:pt idx="15">
                  <c:v>4.9999999999999996E-2</c:v>
                </c:pt>
                <c:pt idx="16">
                  <c:v>5.3333333333333337E-2</c:v>
                </c:pt>
                <c:pt idx="17">
                  <c:v>5.6666666666666671E-2</c:v>
                </c:pt>
                <c:pt idx="18">
                  <c:v>6.0000000000000005E-2</c:v>
                </c:pt>
                <c:pt idx="19">
                  <c:v>6.3333333333333339E-2</c:v>
                </c:pt>
                <c:pt idx="20">
                  <c:v>6.666666666666668E-2</c:v>
                </c:pt>
                <c:pt idx="21">
                  <c:v>7.0000000000000021E-2</c:v>
                </c:pt>
                <c:pt idx="22">
                  <c:v>7.3333333333333348E-2</c:v>
                </c:pt>
                <c:pt idx="23">
                  <c:v>7.6666666666666689E-2</c:v>
                </c:pt>
                <c:pt idx="24">
                  <c:v>8.0000000000000029E-2</c:v>
                </c:pt>
                <c:pt idx="25">
                  <c:v>8.3333333333333356E-2</c:v>
                </c:pt>
                <c:pt idx="26">
                  <c:v>8.6666666666666684E-2</c:v>
                </c:pt>
                <c:pt idx="27">
                  <c:v>9.0000000000000024E-2</c:v>
                </c:pt>
                <c:pt idx="28">
                  <c:v>9.3333333333333365E-2</c:v>
                </c:pt>
                <c:pt idx="29">
                  <c:v>9.6666666666666692E-2</c:v>
                </c:pt>
                <c:pt idx="30">
                  <c:v>0.10000000000000003</c:v>
                </c:pt>
                <c:pt idx="31">
                  <c:v>0.10333333333333337</c:v>
                </c:pt>
                <c:pt idx="32">
                  <c:v>0.1066666666666667</c:v>
                </c:pt>
                <c:pt idx="33">
                  <c:v>0.11000000000000004</c:v>
                </c:pt>
                <c:pt idx="34">
                  <c:v>0.11333333333333338</c:v>
                </c:pt>
                <c:pt idx="35">
                  <c:v>0.11666666666666671</c:v>
                </c:pt>
                <c:pt idx="36">
                  <c:v>0.12000000000000005</c:v>
                </c:pt>
                <c:pt idx="37">
                  <c:v>0.12333333333333339</c:v>
                </c:pt>
                <c:pt idx="38">
                  <c:v>0.12666666666666673</c:v>
                </c:pt>
                <c:pt idx="39">
                  <c:v>0.13000000000000006</c:v>
                </c:pt>
                <c:pt idx="40">
                  <c:v>0.13333333333333339</c:v>
                </c:pt>
                <c:pt idx="41">
                  <c:v>0.13666666666666674</c:v>
                </c:pt>
                <c:pt idx="42">
                  <c:v>0.14000000000000007</c:v>
                </c:pt>
                <c:pt idx="43">
                  <c:v>0.1433333333333334</c:v>
                </c:pt>
                <c:pt idx="44">
                  <c:v>0.14666666666666675</c:v>
                </c:pt>
                <c:pt idx="45">
                  <c:v>0.15000000000000008</c:v>
                </c:pt>
                <c:pt idx="46">
                  <c:v>0.1533333333333334</c:v>
                </c:pt>
                <c:pt idx="47">
                  <c:v>0.15666666666666676</c:v>
                </c:pt>
                <c:pt idx="48">
                  <c:v>0.16000000000000009</c:v>
                </c:pt>
                <c:pt idx="49">
                  <c:v>0.16333333333333341</c:v>
                </c:pt>
                <c:pt idx="50">
                  <c:v>0.16666666666666674</c:v>
                </c:pt>
                <c:pt idx="51">
                  <c:v>0.17000000000000007</c:v>
                </c:pt>
                <c:pt idx="52">
                  <c:v>0.17333333333333342</c:v>
                </c:pt>
                <c:pt idx="53">
                  <c:v>0.17666666666666675</c:v>
                </c:pt>
                <c:pt idx="54">
                  <c:v>0.18000000000000008</c:v>
                </c:pt>
                <c:pt idx="55">
                  <c:v>0.18333333333333343</c:v>
                </c:pt>
                <c:pt idx="56">
                  <c:v>0.18666666666666676</c:v>
                </c:pt>
                <c:pt idx="57">
                  <c:v>0.19000000000000009</c:v>
                </c:pt>
                <c:pt idx="58">
                  <c:v>0.19333333333333344</c:v>
                </c:pt>
                <c:pt idx="59">
                  <c:v>0.19666666666666677</c:v>
                </c:pt>
                <c:pt idx="60">
                  <c:v>0.20000000000000009</c:v>
                </c:pt>
                <c:pt idx="61">
                  <c:v>0.20333333333333345</c:v>
                </c:pt>
                <c:pt idx="62">
                  <c:v>0.20666666666666678</c:v>
                </c:pt>
                <c:pt idx="63">
                  <c:v>0.2100000000000001</c:v>
                </c:pt>
                <c:pt idx="64">
                  <c:v>0.21333333333333346</c:v>
                </c:pt>
                <c:pt idx="65">
                  <c:v>0.21666666666666679</c:v>
                </c:pt>
                <c:pt idx="66">
                  <c:v>0.22000000000000011</c:v>
                </c:pt>
                <c:pt idx="67">
                  <c:v>0.22333333333333347</c:v>
                </c:pt>
                <c:pt idx="68">
                  <c:v>0.22666666666666679</c:v>
                </c:pt>
                <c:pt idx="69">
                  <c:v>0.23000000000000012</c:v>
                </c:pt>
                <c:pt idx="70">
                  <c:v>0.23333333333333348</c:v>
                </c:pt>
                <c:pt idx="71">
                  <c:v>0.2366666666666668</c:v>
                </c:pt>
                <c:pt idx="72">
                  <c:v>0.24000000000000013</c:v>
                </c:pt>
                <c:pt idx="73">
                  <c:v>0.24333333333333348</c:v>
                </c:pt>
                <c:pt idx="74">
                  <c:v>0.24666666666666681</c:v>
                </c:pt>
                <c:pt idx="75">
                  <c:v>0.25000000000000017</c:v>
                </c:pt>
                <c:pt idx="76">
                  <c:v>0.25333333333333347</c:v>
                </c:pt>
                <c:pt idx="77">
                  <c:v>0.25666666666666682</c:v>
                </c:pt>
                <c:pt idx="78">
                  <c:v>0.26000000000000018</c:v>
                </c:pt>
                <c:pt idx="79">
                  <c:v>0.26333333333333347</c:v>
                </c:pt>
                <c:pt idx="80">
                  <c:v>0.26666666666666683</c:v>
                </c:pt>
                <c:pt idx="81">
                  <c:v>0.27000000000000018</c:v>
                </c:pt>
                <c:pt idx="82">
                  <c:v>0.27333333333333348</c:v>
                </c:pt>
                <c:pt idx="83">
                  <c:v>0.27666666666666684</c:v>
                </c:pt>
                <c:pt idx="84">
                  <c:v>0.28000000000000019</c:v>
                </c:pt>
                <c:pt idx="85">
                  <c:v>0.28333333333333349</c:v>
                </c:pt>
                <c:pt idx="86">
                  <c:v>0.28666666666666685</c:v>
                </c:pt>
                <c:pt idx="87">
                  <c:v>0.2900000000000002</c:v>
                </c:pt>
                <c:pt idx="88">
                  <c:v>0.2933333333333335</c:v>
                </c:pt>
                <c:pt idx="89">
                  <c:v>0.29666666666666686</c:v>
                </c:pt>
                <c:pt idx="90">
                  <c:v>0.30000000000000021</c:v>
                </c:pt>
                <c:pt idx="91">
                  <c:v>0.30333333333333351</c:v>
                </c:pt>
                <c:pt idx="92">
                  <c:v>0.30666666666666687</c:v>
                </c:pt>
                <c:pt idx="93">
                  <c:v>0.31000000000000022</c:v>
                </c:pt>
                <c:pt idx="94">
                  <c:v>0.31333333333333352</c:v>
                </c:pt>
                <c:pt idx="95">
                  <c:v>0.31666666666666687</c:v>
                </c:pt>
                <c:pt idx="96">
                  <c:v>0.32000000000000023</c:v>
                </c:pt>
                <c:pt idx="97">
                  <c:v>0.32333333333333353</c:v>
                </c:pt>
                <c:pt idx="98">
                  <c:v>0.32666666666666688</c:v>
                </c:pt>
                <c:pt idx="99">
                  <c:v>0.33000000000000024</c:v>
                </c:pt>
                <c:pt idx="100">
                  <c:v>0.33333333333333354</c:v>
                </c:pt>
              </c:numCache>
            </c:numRef>
          </c:xVal>
          <c:yVal>
            <c:numRef>
              <c:f>Sub_SobreMuestero!$I$2:$I$102</c:f>
              <c:numCache>
                <c:formatCode>General</c:formatCode>
                <c:ptCount val="101"/>
                <c:pt idx="0">
                  <c:v>0</c:v>
                </c:pt>
                <c:pt idx="1">
                  <c:v>0.41692186679025572</c:v>
                </c:pt>
                <c:pt idx="2">
                  <c:v>0.82216661684645809</c:v>
                </c:pt>
                <c:pt idx="3">
                  <c:v>1.2043841852542883</c:v>
                </c:pt>
                <c:pt idx="4">
                  <c:v>1.5528694506957761</c:v>
                </c:pt>
                <c:pt idx="5">
                  <c:v>1.8578620636934853</c:v>
                </c:pt>
                <c:pt idx="6">
                  <c:v>2.1108198137550378</c:v>
                </c:pt>
                <c:pt idx="7">
                  <c:v>2.3046578789712511</c:v>
                </c:pt>
                <c:pt idx="8">
                  <c:v>2.4339472571829006</c:v>
                </c:pt>
                <c:pt idx="9">
                  <c:v>2.495066821070679</c:v>
                </c:pt>
                <c:pt idx="10">
                  <c:v>2.4863047384206833</c:v>
                </c:pt>
                <c:pt idx="11">
                  <c:v>2.4079064169941455</c:v>
                </c:pt>
                <c:pt idx="12">
                  <c:v>2.2620676311650492</c:v>
                </c:pt>
                <c:pt idx="13">
                  <c:v>2.0528730228342611</c:v>
                </c:pt>
                <c:pt idx="14">
                  <c:v>1.786181699082009</c:v>
                </c:pt>
                <c:pt idx="15">
                  <c:v>1.4694631307311832</c:v>
                </c:pt>
                <c:pt idx="16">
                  <c:v>1.1115879479623183</c:v>
                </c:pt>
                <c:pt idx="17">
                  <c:v>0.72257949236117924</c:v>
                </c:pt>
                <c:pt idx="18">
                  <c:v>0.3133330839107602</c:v>
                </c:pt>
                <c:pt idx="19">
                  <c:v>-0.10468913432299892</c:v>
                </c:pt>
                <c:pt idx="20">
                  <c:v>-0.51977922704439983</c:v>
                </c:pt>
                <c:pt idx="21">
                  <c:v>-0.92031138171169691</c:v>
                </c:pt>
                <c:pt idx="22">
                  <c:v>-1.2950675234328268</c:v>
                </c:pt>
                <c:pt idx="23">
                  <c:v>-1.6335515099752651</c:v>
                </c:pt>
                <c:pt idx="24">
                  <c:v>-1.9262831069394748</c:v>
                </c:pt>
                <c:pt idx="25">
                  <c:v>-2.1650635094610982</c:v>
                </c:pt>
                <c:pt idx="26">
                  <c:v>-2.3432049737297294</c:v>
                </c:pt>
                <c:pt idx="27">
                  <c:v>-2.4557181268217221</c:v>
                </c:pt>
                <c:pt idx="28">
                  <c:v>-2.499451708687114</c:v>
                </c:pt>
                <c:pt idx="29">
                  <c:v>-2.4731808324074702</c:v>
                </c:pt>
                <c:pt idx="30">
                  <c:v>-2.3776412907378828</c:v>
                </c:pt>
                <c:pt idx="31">
                  <c:v>-2.2155089480780346</c:v>
                </c:pt>
                <c:pt idx="32">
                  <c:v>-1.9913247950604891</c:v>
                </c:pt>
                <c:pt idx="33">
                  <c:v>-1.7113677648217176</c:v>
                </c:pt>
                <c:pt idx="34">
                  <c:v>-1.3834788731083549</c:v>
                </c:pt>
                <c:pt idx="35">
                  <c:v>-1.0168416076894964</c:v>
                </c:pt>
                <c:pt idx="36">
                  <c:v>-0.62172471791213191</c:v>
                </c:pt>
                <c:pt idx="37">
                  <c:v>-0.20919460833078299</c:v>
                </c:pt>
                <c:pt idx="38">
                  <c:v>0.20919460833079723</c:v>
                </c:pt>
                <c:pt idx="39">
                  <c:v>0.62172471791214368</c:v>
                </c:pt>
                <c:pt idx="40">
                  <c:v>1.0168416076895053</c:v>
                </c:pt>
                <c:pt idx="41">
                  <c:v>1.3834788731083669</c:v>
                </c:pt>
                <c:pt idx="42">
                  <c:v>1.7113677648217278</c:v>
                </c:pt>
                <c:pt idx="43">
                  <c:v>1.9913247950604949</c:v>
                </c:pt>
                <c:pt idx="44">
                  <c:v>2.2155089480780412</c:v>
                </c:pt>
                <c:pt idx="45">
                  <c:v>2.3776412907378863</c:v>
                </c:pt>
                <c:pt idx="46">
                  <c:v>2.473180832407472</c:v>
                </c:pt>
                <c:pt idx="47">
                  <c:v>2.4994517086871135</c:v>
                </c:pt>
                <c:pt idx="48">
                  <c:v>2.4557181268217199</c:v>
                </c:pt>
                <c:pt idx="49">
                  <c:v>2.3432049737297249</c:v>
                </c:pt>
                <c:pt idx="50">
                  <c:v>2.1650635094610933</c:v>
                </c:pt>
                <c:pt idx="51">
                  <c:v>1.9262831069394684</c:v>
                </c:pt>
                <c:pt idx="52">
                  <c:v>1.6335515099752542</c:v>
                </c:pt>
                <c:pt idx="53">
                  <c:v>1.2950675234328184</c:v>
                </c:pt>
                <c:pt idx="54">
                  <c:v>0.92031138171168658</c:v>
                </c:pt>
                <c:pt idx="55">
                  <c:v>0.51977922704438906</c:v>
                </c:pt>
                <c:pt idx="56">
                  <c:v>0.10468913432298904</c:v>
                </c:pt>
                <c:pt idx="57">
                  <c:v>-0.31333308391077114</c:v>
                </c:pt>
                <c:pt idx="58">
                  <c:v>-0.72257949236118968</c:v>
                </c:pt>
                <c:pt idx="59">
                  <c:v>-1.1115879479623292</c:v>
                </c:pt>
                <c:pt idx="60">
                  <c:v>-1.4694631307311927</c:v>
                </c:pt>
                <c:pt idx="61">
                  <c:v>-1.7861816990820176</c:v>
                </c:pt>
                <c:pt idx="62">
                  <c:v>-2.0528730228342678</c:v>
                </c:pt>
                <c:pt idx="63">
                  <c:v>-2.2620676311650549</c:v>
                </c:pt>
                <c:pt idx="64">
                  <c:v>-2.4079064169941495</c:v>
                </c:pt>
                <c:pt idx="65">
                  <c:v>-2.4863047384206851</c:v>
                </c:pt>
                <c:pt idx="66">
                  <c:v>-2.4950668210706781</c:v>
                </c:pt>
                <c:pt idx="67">
                  <c:v>-2.4339472571828971</c:v>
                </c:pt>
                <c:pt idx="68">
                  <c:v>-2.3046578789712449</c:v>
                </c:pt>
                <c:pt idx="69">
                  <c:v>-2.1108198137550307</c:v>
                </c:pt>
                <c:pt idx="70">
                  <c:v>-1.8578620636934735</c:v>
                </c:pt>
                <c:pt idx="71">
                  <c:v>-1.5528694506957645</c:v>
                </c:pt>
                <c:pt idx="72">
                  <c:v>-1.2043841852542752</c:v>
                </c:pt>
                <c:pt idx="73">
                  <c:v>-0.82216661684643932</c:v>
                </c:pt>
                <c:pt idx="74">
                  <c:v>-0.41692186679023996</c:v>
                </c:pt>
                <c:pt idx="75">
                  <c:v>2.0979312037594511E-14</c:v>
                </c:pt>
                <c:pt idx="76">
                  <c:v>0.41692186679027254</c:v>
                </c:pt>
                <c:pt idx="77">
                  <c:v>0.82216661684647485</c:v>
                </c:pt>
                <c:pt idx="78">
                  <c:v>1.2043841852543082</c:v>
                </c:pt>
                <c:pt idx="79">
                  <c:v>1.5528694506957872</c:v>
                </c:pt>
                <c:pt idx="80">
                  <c:v>1.8578620636934986</c:v>
                </c:pt>
                <c:pt idx="81">
                  <c:v>2.1108198137550485</c:v>
                </c:pt>
                <c:pt idx="82">
                  <c:v>2.3046578789712577</c:v>
                </c:pt>
                <c:pt idx="83">
                  <c:v>2.4339472571829055</c:v>
                </c:pt>
                <c:pt idx="84">
                  <c:v>2.4950668210706803</c:v>
                </c:pt>
                <c:pt idx="85">
                  <c:v>2.4863047384206816</c:v>
                </c:pt>
                <c:pt idx="86">
                  <c:v>2.4079064169941393</c:v>
                </c:pt>
                <c:pt idx="87">
                  <c:v>2.262067631165039</c:v>
                </c:pt>
                <c:pt idx="88">
                  <c:v>2.0528730228342491</c:v>
                </c:pt>
                <c:pt idx="89">
                  <c:v>1.7861816990819943</c:v>
                </c:pt>
                <c:pt idx="90">
                  <c:v>1.4694631307311625</c:v>
                </c:pt>
                <c:pt idx="91">
                  <c:v>1.1115879479622996</c:v>
                </c:pt>
                <c:pt idx="92">
                  <c:v>0.72257949236115815</c:v>
                </c:pt>
                <c:pt idx="93">
                  <c:v>0.31333308391073394</c:v>
                </c:pt>
                <c:pt idx="94">
                  <c:v>-0.1046891343230221</c:v>
                </c:pt>
                <c:pt idx="95">
                  <c:v>-0.51977922704442148</c:v>
                </c:pt>
                <c:pt idx="96">
                  <c:v>-0.92031138171172155</c:v>
                </c:pt>
                <c:pt idx="97">
                  <c:v>-1.2950675234328428</c:v>
                </c:pt>
                <c:pt idx="98">
                  <c:v>-1.6335515099752862</c:v>
                </c:pt>
                <c:pt idx="99">
                  <c:v>-1.9262831069394926</c:v>
                </c:pt>
                <c:pt idx="100">
                  <c:v>-2.1650635094611075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3E-4D73-BDF9-D5E6E4FC4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811567"/>
        <c:axId val="1181809647"/>
      </c:scatterChart>
      <c:valAx>
        <c:axId val="118181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1809647"/>
        <c:crosses val="autoZero"/>
        <c:crossBetween val="midCat"/>
      </c:valAx>
      <c:valAx>
        <c:axId val="118180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1811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Sub_SobreMuestero!$F$1</c:f>
              <c:strCache>
                <c:ptCount val="1"/>
                <c:pt idx="0">
                  <c:v>x1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Sub_SobreMuestero!$D$2:$D$102</c:f>
              <c:numCache>
                <c:formatCode>General</c:formatCode>
                <c:ptCount val="10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</c:numCache>
            </c:numRef>
          </c:xVal>
          <c:yVal>
            <c:numRef>
              <c:f>Sub_SobreMuestero!$F$2:$F$102</c:f>
              <c:numCache>
                <c:formatCode>General</c:formatCode>
                <c:ptCount val="101"/>
                <c:pt idx="0">
                  <c:v>0</c:v>
                </c:pt>
                <c:pt idx="1">
                  <c:v>2.1108198137550378</c:v>
                </c:pt>
                <c:pt idx="2">
                  <c:v>2.2620676311650487</c:v>
                </c:pt>
                <c:pt idx="3">
                  <c:v>0.31333308391076131</c:v>
                </c:pt>
                <c:pt idx="4">
                  <c:v>-1.9262831069394735</c:v>
                </c:pt>
                <c:pt idx="5">
                  <c:v>-2.3776412907378841</c:v>
                </c:pt>
                <c:pt idx="6">
                  <c:v>-0.62172471791213624</c:v>
                </c:pt>
                <c:pt idx="7">
                  <c:v>1.7113677648217231</c:v>
                </c:pt>
                <c:pt idx="8">
                  <c:v>2.4557181268217216</c:v>
                </c:pt>
                <c:pt idx="9">
                  <c:v>0.92031138171169491</c:v>
                </c:pt>
                <c:pt idx="10">
                  <c:v>-1.4694631307311821</c:v>
                </c:pt>
                <c:pt idx="11">
                  <c:v>-2.495066821070679</c:v>
                </c:pt>
                <c:pt idx="12">
                  <c:v>-1.2043841852542947</c:v>
                </c:pt>
                <c:pt idx="13">
                  <c:v>1.2043841852542809</c:v>
                </c:pt>
                <c:pt idx="14">
                  <c:v>2.4950668210706786</c:v>
                </c:pt>
                <c:pt idx="15">
                  <c:v>1.4694631307311838</c:v>
                </c:pt>
                <c:pt idx="16">
                  <c:v>-0.9203113817116968</c:v>
                </c:pt>
                <c:pt idx="17">
                  <c:v>-2.4557181268217225</c:v>
                </c:pt>
                <c:pt idx="18">
                  <c:v>-1.7113677648217216</c:v>
                </c:pt>
                <c:pt idx="19">
                  <c:v>0.62172471791214035</c:v>
                </c:pt>
                <c:pt idx="20">
                  <c:v>2.3776412907378859</c:v>
                </c:pt>
                <c:pt idx="21">
                  <c:v>1.9262831069394664</c:v>
                </c:pt>
                <c:pt idx="22">
                  <c:v>-0.3133330839107743</c:v>
                </c:pt>
                <c:pt idx="23">
                  <c:v>-2.2620676311650563</c:v>
                </c:pt>
                <c:pt idx="24">
                  <c:v>-2.1108198137550267</c:v>
                </c:pt>
                <c:pt idx="25">
                  <c:v>1.5313271484185265E-14</c:v>
                </c:pt>
                <c:pt idx="26">
                  <c:v>2.1108198137550431</c:v>
                </c:pt>
                <c:pt idx="27">
                  <c:v>2.2620676311650429</c:v>
                </c:pt>
                <c:pt idx="28">
                  <c:v>0.31333308391074394</c:v>
                </c:pt>
                <c:pt idx="29">
                  <c:v>-1.9262831069394859</c:v>
                </c:pt>
                <c:pt idx="30">
                  <c:v>-2.3776412907378766</c:v>
                </c:pt>
                <c:pt idx="31">
                  <c:v>-0.6217247179121107</c:v>
                </c:pt>
                <c:pt idx="32">
                  <c:v>1.7113677648217376</c:v>
                </c:pt>
                <c:pt idx="33">
                  <c:v>2.4557181268217172</c:v>
                </c:pt>
                <c:pt idx="34">
                  <c:v>0.92031138171166826</c:v>
                </c:pt>
                <c:pt idx="35">
                  <c:v>-1.4694631307312087</c:v>
                </c:pt>
                <c:pt idx="36">
                  <c:v>-2.4950668210706768</c:v>
                </c:pt>
                <c:pt idx="37">
                  <c:v>-1.2043841852542541</c:v>
                </c:pt>
                <c:pt idx="38">
                  <c:v>1.2043841852543253</c:v>
                </c:pt>
                <c:pt idx="39">
                  <c:v>2.4950668210706817</c:v>
                </c:pt>
                <c:pt idx="40">
                  <c:v>1.469463130731143</c:v>
                </c:pt>
                <c:pt idx="41">
                  <c:v>-0.92031138171174409</c:v>
                </c:pt>
                <c:pt idx="42">
                  <c:v>-2.4557181268217323</c:v>
                </c:pt>
                <c:pt idx="43">
                  <c:v>-1.711367764821691</c:v>
                </c:pt>
                <c:pt idx="44">
                  <c:v>0.62172471791218098</c:v>
                </c:pt>
                <c:pt idx="45">
                  <c:v>2.3776412907378992</c:v>
                </c:pt>
                <c:pt idx="46">
                  <c:v>1.9262831069394397</c:v>
                </c:pt>
                <c:pt idx="47">
                  <c:v>-0.31333308391081593</c:v>
                </c:pt>
                <c:pt idx="48">
                  <c:v>-2.262067631165074</c:v>
                </c:pt>
                <c:pt idx="49">
                  <c:v>-2.110819813755004</c:v>
                </c:pt>
                <c:pt idx="50">
                  <c:v>4.8390111362373034E-14</c:v>
                </c:pt>
                <c:pt idx="51">
                  <c:v>2.1108198137550653</c:v>
                </c:pt>
                <c:pt idx="52">
                  <c:v>2.2620676311650252</c:v>
                </c:pt>
                <c:pt idx="53">
                  <c:v>0.3133330839107023</c:v>
                </c:pt>
                <c:pt idx="54">
                  <c:v>-1.9262831069395128</c:v>
                </c:pt>
                <c:pt idx="55">
                  <c:v>-2.3776412907378637</c:v>
                </c:pt>
                <c:pt idx="56">
                  <c:v>-0.62172471791207007</c:v>
                </c:pt>
                <c:pt idx="57">
                  <c:v>1.7113677648217744</c:v>
                </c:pt>
                <c:pt idx="58">
                  <c:v>2.4557181268217074</c:v>
                </c:pt>
                <c:pt idx="59">
                  <c:v>0.92031138171163751</c:v>
                </c:pt>
                <c:pt idx="60">
                  <c:v>-1.4694631307312356</c:v>
                </c:pt>
                <c:pt idx="61">
                  <c:v>-2.4950668210706746</c:v>
                </c:pt>
                <c:pt idx="62">
                  <c:v>-1.204384185254225</c:v>
                </c:pt>
                <c:pt idx="63">
                  <c:v>1.2043841852543544</c:v>
                </c:pt>
                <c:pt idx="64">
                  <c:v>2.4950668210706839</c:v>
                </c:pt>
                <c:pt idx="65">
                  <c:v>1.4694631307311017</c:v>
                </c:pt>
                <c:pt idx="66">
                  <c:v>-0.92031138171177473</c:v>
                </c:pt>
                <c:pt idx="67">
                  <c:v>-2.455718126821735</c:v>
                </c:pt>
                <c:pt idx="68">
                  <c:v>-1.7113677648216541</c:v>
                </c:pt>
                <c:pt idx="69">
                  <c:v>0.62172471791221307</c:v>
                </c:pt>
                <c:pt idx="70">
                  <c:v>2.3776412907379147</c:v>
                </c:pt>
                <c:pt idx="71">
                  <c:v>1.9262831069394188</c:v>
                </c:pt>
                <c:pt idx="72">
                  <c:v>-0.31333308391086639</c:v>
                </c:pt>
                <c:pt idx="73">
                  <c:v>-2.2620676311650882</c:v>
                </c:pt>
                <c:pt idx="74">
                  <c:v>-2.110819813754977</c:v>
                </c:pt>
                <c:pt idx="75">
                  <c:v>9.9230519634563308E-14</c:v>
                </c:pt>
                <c:pt idx="76">
                  <c:v>2.1108198137551022</c:v>
                </c:pt>
                <c:pt idx="77">
                  <c:v>2.2620676311650039</c:v>
                </c:pt>
                <c:pt idx="78">
                  <c:v>0.3133330839106343</c:v>
                </c:pt>
                <c:pt idx="79">
                  <c:v>-1.926283106939545</c:v>
                </c:pt>
                <c:pt idx="80">
                  <c:v>-2.3776412907378535</c:v>
                </c:pt>
                <c:pt idx="81">
                  <c:v>-0.62172471791202077</c:v>
                </c:pt>
                <c:pt idx="82">
                  <c:v>1.7113677648217986</c:v>
                </c:pt>
                <c:pt idx="83">
                  <c:v>2.4557181268216981</c:v>
                </c:pt>
                <c:pt idx="84">
                  <c:v>0.92031138171159033</c:v>
                </c:pt>
                <c:pt idx="85">
                  <c:v>-1.4694631307312911</c:v>
                </c:pt>
                <c:pt idx="86">
                  <c:v>-2.4950668210706715</c:v>
                </c:pt>
                <c:pt idx="87">
                  <c:v>-1.204384185254165</c:v>
                </c:pt>
                <c:pt idx="88">
                  <c:v>1.2043841852543988</c:v>
                </c:pt>
                <c:pt idx="89">
                  <c:v>2.4950668210706879</c:v>
                </c:pt>
                <c:pt idx="90">
                  <c:v>1.4694631307310748</c:v>
                </c:pt>
                <c:pt idx="91">
                  <c:v>-0.92031138171183857</c:v>
                </c:pt>
                <c:pt idx="92">
                  <c:v>-2.4557181268217478</c:v>
                </c:pt>
                <c:pt idx="93">
                  <c:v>-1.7113677648216299</c:v>
                </c:pt>
                <c:pt idx="94">
                  <c:v>0.62172471791227946</c:v>
                </c:pt>
                <c:pt idx="95">
                  <c:v>2.377641290737925</c:v>
                </c:pt>
                <c:pt idx="96">
                  <c:v>1.9262831069393749</c:v>
                </c:pt>
                <c:pt idx="97">
                  <c:v>-0.3133330839108992</c:v>
                </c:pt>
                <c:pt idx="98">
                  <c:v>-2.2620676311651171</c:v>
                </c:pt>
                <c:pt idx="99">
                  <c:v>-2.1108198137549592</c:v>
                </c:pt>
                <c:pt idx="100">
                  <c:v>1.6783449630075609E-13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76-4E32-8EB5-F5B874ABA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673120"/>
        <c:axId val="2079674080"/>
      </c:scatterChart>
      <c:valAx>
        <c:axId val="207967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79674080"/>
        <c:crosses val="autoZero"/>
        <c:crossBetween val="midCat"/>
      </c:valAx>
      <c:valAx>
        <c:axId val="207967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7967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Sub_SobreMuestero!$C$1</c:f>
              <c:strCache>
                <c:ptCount val="1"/>
                <c:pt idx="0">
                  <c:v>x0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Sub_SobreMuestero!$A$2:$A$102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Sub_SobreMuestero!$C$2:$C$102</c:f>
              <c:numCache>
                <c:formatCode>General</c:formatCode>
                <c:ptCount val="101"/>
                <c:pt idx="0">
                  <c:v>0</c:v>
                </c:pt>
                <c:pt idx="1">
                  <c:v>1.2043841852542883</c:v>
                </c:pt>
                <c:pt idx="2">
                  <c:v>2.1108198137550378</c:v>
                </c:pt>
                <c:pt idx="3">
                  <c:v>2.495066821070679</c:v>
                </c:pt>
                <c:pt idx="4">
                  <c:v>2.2620676311650487</c:v>
                </c:pt>
                <c:pt idx="5">
                  <c:v>1.4694631307311832</c:v>
                </c:pt>
                <c:pt idx="6">
                  <c:v>0.3133330839107602</c:v>
                </c:pt>
                <c:pt idx="7">
                  <c:v>-0.9203113817116958</c:v>
                </c:pt>
                <c:pt idx="8">
                  <c:v>-1.9262831069394735</c:v>
                </c:pt>
                <c:pt idx="9">
                  <c:v>-2.4557181268217216</c:v>
                </c:pt>
                <c:pt idx="10">
                  <c:v>-2.3776412907378841</c:v>
                </c:pt>
                <c:pt idx="11">
                  <c:v>-1.711367764821724</c:v>
                </c:pt>
                <c:pt idx="12">
                  <c:v>-0.62172471791214057</c:v>
                </c:pt>
                <c:pt idx="13">
                  <c:v>0.62172471791213291</c:v>
                </c:pt>
                <c:pt idx="14">
                  <c:v>1.7113677648217198</c:v>
                </c:pt>
                <c:pt idx="15">
                  <c:v>2.3776412907378837</c:v>
                </c:pt>
                <c:pt idx="16">
                  <c:v>2.4557181268217216</c:v>
                </c:pt>
                <c:pt idx="17">
                  <c:v>1.9262831069394715</c:v>
                </c:pt>
                <c:pt idx="18">
                  <c:v>0.92031138171169491</c:v>
                </c:pt>
                <c:pt idx="19">
                  <c:v>-0.31333308391076231</c:v>
                </c:pt>
                <c:pt idx="20">
                  <c:v>-1.4694631307311856</c:v>
                </c:pt>
                <c:pt idx="21">
                  <c:v>-2.2620676311650509</c:v>
                </c:pt>
                <c:pt idx="22">
                  <c:v>-2.4950668210706786</c:v>
                </c:pt>
                <c:pt idx="23">
                  <c:v>-2.1108198137550329</c:v>
                </c:pt>
                <c:pt idx="24">
                  <c:v>-1.2043841852542791</c:v>
                </c:pt>
                <c:pt idx="25">
                  <c:v>7.6566357420926323E-15</c:v>
                </c:pt>
                <c:pt idx="26">
                  <c:v>1.2043841852542925</c:v>
                </c:pt>
                <c:pt idx="27">
                  <c:v>2.1108198137550414</c:v>
                </c:pt>
                <c:pt idx="28">
                  <c:v>2.4950668210706795</c:v>
                </c:pt>
                <c:pt idx="29">
                  <c:v>2.2620676311650447</c:v>
                </c:pt>
                <c:pt idx="30">
                  <c:v>1.4694631307311732</c:v>
                </c:pt>
                <c:pt idx="31">
                  <c:v>0.3133330839107471</c:v>
                </c:pt>
                <c:pt idx="32">
                  <c:v>-0.92031138171170501</c:v>
                </c:pt>
                <c:pt idx="33">
                  <c:v>-1.9262831069394812</c:v>
                </c:pt>
                <c:pt idx="34">
                  <c:v>-2.4557181268217243</c:v>
                </c:pt>
                <c:pt idx="35">
                  <c:v>-2.3776412907378792</c:v>
                </c:pt>
                <c:pt idx="36">
                  <c:v>-1.7113677648217087</c:v>
                </c:pt>
                <c:pt idx="37">
                  <c:v>-0.62172471791211814</c:v>
                </c:pt>
                <c:pt idx="38">
                  <c:v>0.62172471791215755</c:v>
                </c:pt>
                <c:pt idx="39">
                  <c:v>1.7113677648217385</c:v>
                </c:pt>
                <c:pt idx="40">
                  <c:v>2.3776412907378917</c:v>
                </c:pt>
                <c:pt idx="41">
                  <c:v>2.4557181268217168</c:v>
                </c:pt>
                <c:pt idx="42">
                  <c:v>1.926283106939455</c:v>
                </c:pt>
                <c:pt idx="43">
                  <c:v>0.92031138171167537</c:v>
                </c:pt>
                <c:pt idx="44">
                  <c:v>-0.31333308391078313</c:v>
                </c:pt>
                <c:pt idx="45">
                  <c:v>-1.4694631307312025</c:v>
                </c:pt>
                <c:pt idx="46">
                  <c:v>-2.2620676311650598</c:v>
                </c:pt>
                <c:pt idx="47">
                  <c:v>-2.4950668210706772</c:v>
                </c:pt>
                <c:pt idx="48">
                  <c:v>-2.1108198137550218</c:v>
                </c:pt>
                <c:pt idx="49">
                  <c:v>-1.2043841852542607</c:v>
                </c:pt>
                <c:pt idx="50">
                  <c:v>2.4195055681186517E-14</c:v>
                </c:pt>
                <c:pt idx="51">
                  <c:v>1.2043841852543109</c:v>
                </c:pt>
                <c:pt idx="52">
                  <c:v>2.1108198137550525</c:v>
                </c:pt>
                <c:pt idx="53">
                  <c:v>2.4950668210706808</c:v>
                </c:pt>
                <c:pt idx="54">
                  <c:v>2.2620676311650358</c:v>
                </c:pt>
                <c:pt idx="55">
                  <c:v>1.4694631307311563</c:v>
                </c:pt>
                <c:pt idx="56">
                  <c:v>0.31333308391072628</c:v>
                </c:pt>
                <c:pt idx="57">
                  <c:v>-0.92031138171172866</c:v>
                </c:pt>
                <c:pt idx="58">
                  <c:v>-1.9262831069394972</c:v>
                </c:pt>
                <c:pt idx="59">
                  <c:v>-2.4557181268217274</c:v>
                </c:pt>
                <c:pt idx="60">
                  <c:v>-2.3776412907378739</c:v>
                </c:pt>
                <c:pt idx="61">
                  <c:v>-1.7113677648216965</c:v>
                </c:pt>
                <c:pt idx="62">
                  <c:v>-0.62172471791210204</c:v>
                </c:pt>
                <c:pt idx="63">
                  <c:v>0.62172471791217354</c:v>
                </c:pt>
                <c:pt idx="64">
                  <c:v>1.7113677648217505</c:v>
                </c:pt>
                <c:pt idx="65">
                  <c:v>2.3776412907378992</c:v>
                </c:pt>
                <c:pt idx="66">
                  <c:v>2.4557181268217136</c:v>
                </c:pt>
                <c:pt idx="67">
                  <c:v>1.9262831069394504</c:v>
                </c:pt>
                <c:pt idx="68">
                  <c:v>0.92031138171165172</c:v>
                </c:pt>
                <c:pt idx="69">
                  <c:v>-0.31333308391079956</c:v>
                </c:pt>
                <c:pt idx="70">
                  <c:v>-1.4694631307312231</c:v>
                </c:pt>
                <c:pt idx="71">
                  <c:v>-2.2620676311650669</c:v>
                </c:pt>
                <c:pt idx="72">
                  <c:v>-2.4950668210706755</c:v>
                </c:pt>
                <c:pt idx="73">
                  <c:v>-2.1108198137550129</c:v>
                </c:pt>
                <c:pt idx="74">
                  <c:v>-1.2043841852542385</c:v>
                </c:pt>
                <c:pt idx="75">
                  <c:v>4.9615259817281654E-14</c:v>
                </c:pt>
                <c:pt idx="76">
                  <c:v>1.2043841852543409</c:v>
                </c:pt>
                <c:pt idx="77">
                  <c:v>2.1108198137550662</c:v>
                </c:pt>
                <c:pt idx="78">
                  <c:v>2.495066821070683</c:v>
                </c:pt>
                <c:pt idx="79">
                  <c:v>2.2620676311650247</c:v>
                </c:pt>
                <c:pt idx="80">
                  <c:v>1.469463130731143</c:v>
                </c:pt>
                <c:pt idx="81">
                  <c:v>0.31333308391070114</c:v>
                </c:pt>
                <c:pt idx="82">
                  <c:v>-0.92031138171174409</c:v>
                </c:pt>
                <c:pt idx="83">
                  <c:v>-1.9262831069395134</c:v>
                </c:pt>
                <c:pt idx="84">
                  <c:v>-2.4557181268217323</c:v>
                </c:pt>
                <c:pt idx="85">
                  <c:v>-2.3776412907378632</c:v>
                </c:pt>
                <c:pt idx="86">
                  <c:v>-1.7113677648216783</c:v>
                </c:pt>
                <c:pt idx="87">
                  <c:v>-0.62172471791206885</c:v>
                </c:pt>
                <c:pt idx="88">
                  <c:v>0.62172471791219819</c:v>
                </c:pt>
                <c:pt idx="89">
                  <c:v>1.7113677648217753</c:v>
                </c:pt>
                <c:pt idx="90">
                  <c:v>2.3776412907379045</c:v>
                </c:pt>
                <c:pt idx="91">
                  <c:v>2.455718126821707</c:v>
                </c:pt>
                <c:pt idx="92">
                  <c:v>1.9262831069394284</c:v>
                </c:pt>
                <c:pt idx="93">
                  <c:v>0.9203113817116364</c:v>
                </c:pt>
                <c:pt idx="94">
                  <c:v>-0.31333308391083359</c:v>
                </c:pt>
                <c:pt idx="95">
                  <c:v>-1.4694631307312365</c:v>
                </c:pt>
                <c:pt idx="96">
                  <c:v>-2.2620676311650816</c:v>
                </c:pt>
                <c:pt idx="97">
                  <c:v>-2.4950668210706746</c:v>
                </c:pt>
                <c:pt idx="98">
                  <c:v>-2.1108198137549947</c:v>
                </c:pt>
                <c:pt idx="99">
                  <c:v>-1.2043841852542239</c:v>
                </c:pt>
                <c:pt idx="100">
                  <c:v>8.3917248150378043E-14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EF-405D-B5E2-66B13FB89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252111"/>
        <c:axId val="1191255471"/>
      </c:scatterChart>
      <c:valAx>
        <c:axId val="119125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1255471"/>
        <c:crosses val="autoZero"/>
        <c:crossBetween val="midCat"/>
      </c:valAx>
      <c:valAx>
        <c:axId val="119125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125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571500</xdr:colOff>
      <xdr:row>0</xdr:row>
      <xdr:rowOff>0</xdr:rowOff>
    </xdr:from>
    <xdr:to>
      <xdr:col>25</xdr:col>
      <xdr:colOff>266700</xdr:colOff>
      <xdr:row>15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2D8671-433C-FE27-9A53-E38D2089F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594360</xdr:colOff>
      <xdr:row>15</xdr:row>
      <xdr:rowOff>99060</xdr:rowOff>
    </xdr:from>
    <xdr:to>
      <xdr:col>28</xdr:col>
      <xdr:colOff>213360</xdr:colOff>
      <xdr:row>30</xdr:row>
      <xdr:rowOff>99060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F0024AB-7B18-EF30-670D-83795B939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601980</xdr:colOff>
      <xdr:row>0</xdr:row>
      <xdr:rowOff>0</xdr:rowOff>
    </xdr:from>
    <xdr:to>
      <xdr:col>17</xdr:col>
      <xdr:colOff>297180</xdr:colOff>
      <xdr:row>15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3C77BC2-537B-92C3-1110-490A7E148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tabSelected="1" workbookViewId="0">
      <selection activeCell="I12" sqref="I12"/>
    </sheetView>
  </sheetViews>
  <sheetFormatPr baseColWidth="10" defaultColWidth="8.88671875" defaultRowHeight="14.4" x14ac:dyDescent="0.3"/>
  <sheetData>
    <row r="1" spans="1:9" s="1" customForma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7</v>
      </c>
      <c r="H1" s="4" t="s">
        <v>6</v>
      </c>
      <c r="I1" s="4" t="s">
        <v>8</v>
      </c>
    </row>
    <row r="2" spans="1:9" x14ac:dyDescent="0.3">
      <c r="A2">
        <v>0</v>
      </c>
      <c r="B2">
        <f>2*PI()*8*A2</f>
        <v>0</v>
      </c>
      <c r="C2">
        <f>2.5*SIN(B2)</f>
        <v>0</v>
      </c>
      <c r="D2">
        <f>2*A2</f>
        <v>0</v>
      </c>
      <c r="E2">
        <f>2*PI()*8*D2</f>
        <v>0</v>
      </c>
      <c r="F2">
        <f>2.5*SIN(E2)</f>
        <v>0</v>
      </c>
      <c r="G2">
        <f>A2/3</f>
        <v>0</v>
      </c>
      <c r="H2">
        <f>2*PI()*8*G2</f>
        <v>0</v>
      </c>
      <c r="I2">
        <f>2.5*SIN(H2)</f>
        <v>0</v>
      </c>
    </row>
    <row r="3" spans="1:9" x14ac:dyDescent="0.3">
      <c r="A3">
        <f>A2+0.01</f>
        <v>0.01</v>
      </c>
      <c r="B3">
        <f t="shared" ref="B3:B66" si="0">2*PI()*8*A3</f>
        <v>0.50265482457436694</v>
      </c>
      <c r="C3">
        <f t="shared" ref="C3:C66" si="1">2.5*SIN(B3)</f>
        <v>1.2043841852542883</v>
      </c>
      <c r="D3">
        <f t="shared" ref="D3:D66" si="2">2*A3</f>
        <v>0.02</v>
      </c>
      <c r="E3">
        <f t="shared" ref="E3:E66" si="3">2*PI()*8*D3</f>
        <v>1.0053096491487339</v>
      </c>
      <c r="F3">
        <f t="shared" ref="F3:F66" si="4">2.5*SIN(E3)</f>
        <v>2.1108198137550378</v>
      </c>
      <c r="G3">
        <f t="shared" ref="G3:G66" si="5">A3/3</f>
        <v>3.3333333333333335E-3</v>
      </c>
      <c r="H3">
        <f t="shared" ref="H3:H66" si="6">2*PI()*8*G3</f>
        <v>0.16755160819145565</v>
      </c>
      <c r="I3">
        <f t="shared" ref="I3:I66" si="7">2.5*SIN(H3)</f>
        <v>0.41692186679025572</v>
      </c>
    </row>
    <row r="4" spans="1:9" x14ac:dyDescent="0.3">
      <c r="A4">
        <f t="shared" ref="A4:A67" si="8">A3+0.01</f>
        <v>0.02</v>
      </c>
      <c r="B4">
        <f t="shared" si="0"/>
        <v>1.0053096491487339</v>
      </c>
      <c r="C4">
        <f t="shared" si="1"/>
        <v>2.1108198137550378</v>
      </c>
      <c r="D4">
        <f t="shared" si="2"/>
        <v>0.04</v>
      </c>
      <c r="E4">
        <f t="shared" si="3"/>
        <v>2.0106192982974678</v>
      </c>
      <c r="F4">
        <f t="shared" si="4"/>
        <v>2.2620676311650487</v>
      </c>
      <c r="G4">
        <f t="shared" si="5"/>
        <v>6.6666666666666671E-3</v>
      </c>
      <c r="H4">
        <f t="shared" si="6"/>
        <v>0.3351032163829113</v>
      </c>
      <c r="I4">
        <f t="shared" si="7"/>
        <v>0.82216661684645809</v>
      </c>
    </row>
    <row r="5" spans="1:9" x14ac:dyDescent="0.3">
      <c r="A5">
        <f t="shared" si="8"/>
        <v>0.03</v>
      </c>
      <c r="B5">
        <f t="shared" si="0"/>
        <v>1.5079644737231006</v>
      </c>
      <c r="C5">
        <f t="shared" si="1"/>
        <v>2.495066821070679</v>
      </c>
      <c r="D5">
        <f t="shared" si="2"/>
        <v>0.06</v>
      </c>
      <c r="E5">
        <f t="shared" si="3"/>
        <v>3.0159289474462012</v>
      </c>
      <c r="F5">
        <f t="shared" si="4"/>
        <v>0.31333308391076131</v>
      </c>
      <c r="G5">
        <f t="shared" si="5"/>
        <v>0.01</v>
      </c>
      <c r="H5">
        <f t="shared" si="6"/>
        <v>0.50265482457436694</v>
      </c>
      <c r="I5">
        <f t="shared" si="7"/>
        <v>1.2043841852542883</v>
      </c>
    </row>
    <row r="6" spans="1:9" x14ac:dyDescent="0.3">
      <c r="A6">
        <f t="shared" si="8"/>
        <v>0.04</v>
      </c>
      <c r="B6">
        <f t="shared" si="0"/>
        <v>2.0106192982974678</v>
      </c>
      <c r="C6">
        <f t="shared" si="1"/>
        <v>2.2620676311650487</v>
      </c>
      <c r="D6">
        <f t="shared" si="2"/>
        <v>0.08</v>
      </c>
      <c r="E6">
        <f t="shared" si="3"/>
        <v>4.0212385965949355</v>
      </c>
      <c r="F6">
        <f t="shared" si="4"/>
        <v>-1.9262831069394735</v>
      </c>
      <c r="G6">
        <f t="shared" si="5"/>
        <v>1.3333333333333334E-2</v>
      </c>
      <c r="H6">
        <f t="shared" si="6"/>
        <v>0.67020643276582259</v>
      </c>
      <c r="I6">
        <f t="shared" si="7"/>
        <v>1.5528694506957761</v>
      </c>
    </row>
    <row r="7" spans="1:9" x14ac:dyDescent="0.3">
      <c r="A7">
        <f t="shared" si="8"/>
        <v>0.05</v>
      </c>
      <c r="B7">
        <f t="shared" si="0"/>
        <v>2.5132741228718345</v>
      </c>
      <c r="C7">
        <f t="shared" si="1"/>
        <v>1.4694631307311832</v>
      </c>
      <c r="D7">
        <f t="shared" si="2"/>
        <v>0.1</v>
      </c>
      <c r="E7">
        <f t="shared" si="3"/>
        <v>5.026548245743669</v>
      </c>
      <c r="F7">
        <f t="shared" si="4"/>
        <v>-2.3776412907378841</v>
      </c>
      <c r="G7">
        <f t="shared" si="5"/>
        <v>1.6666666666666666E-2</v>
      </c>
      <c r="H7">
        <f t="shared" si="6"/>
        <v>0.83775804095727813</v>
      </c>
      <c r="I7">
        <f t="shared" si="7"/>
        <v>1.8578620636934853</v>
      </c>
    </row>
    <row r="8" spans="1:9" x14ac:dyDescent="0.3">
      <c r="A8">
        <f t="shared" si="8"/>
        <v>6.0000000000000005E-2</v>
      </c>
      <c r="B8">
        <f t="shared" si="0"/>
        <v>3.0159289474462017</v>
      </c>
      <c r="C8">
        <f t="shared" si="1"/>
        <v>0.3133330839107602</v>
      </c>
      <c r="D8">
        <f t="shared" si="2"/>
        <v>0.12000000000000001</v>
      </c>
      <c r="E8">
        <f t="shared" si="3"/>
        <v>6.0318578948924033</v>
      </c>
      <c r="F8">
        <f t="shared" si="4"/>
        <v>-0.62172471791213624</v>
      </c>
      <c r="G8">
        <f t="shared" si="5"/>
        <v>0.02</v>
      </c>
      <c r="H8">
        <f t="shared" si="6"/>
        <v>1.0053096491487339</v>
      </c>
      <c r="I8">
        <f t="shared" si="7"/>
        <v>2.1108198137550378</v>
      </c>
    </row>
    <row r="9" spans="1:9" x14ac:dyDescent="0.3">
      <c r="A9">
        <f t="shared" si="8"/>
        <v>7.0000000000000007E-2</v>
      </c>
      <c r="B9">
        <f t="shared" si="0"/>
        <v>3.5185837720205688</v>
      </c>
      <c r="C9">
        <f t="shared" si="1"/>
        <v>-0.9203113817116958</v>
      </c>
      <c r="D9">
        <f t="shared" si="2"/>
        <v>0.14000000000000001</v>
      </c>
      <c r="E9">
        <f t="shared" si="3"/>
        <v>7.0371675440411376</v>
      </c>
      <c r="F9">
        <f t="shared" si="4"/>
        <v>1.7113677648217231</v>
      </c>
      <c r="G9">
        <f t="shared" si="5"/>
        <v>2.3333333333333334E-2</v>
      </c>
      <c r="H9">
        <f t="shared" si="6"/>
        <v>1.1728612573401895</v>
      </c>
      <c r="I9">
        <f t="shared" si="7"/>
        <v>2.3046578789712511</v>
      </c>
    </row>
    <row r="10" spans="1:9" x14ac:dyDescent="0.3">
      <c r="A10">
        <f t="shared" si="8"/>
        <v>0.08</v>
      </c>
      <c r="B10">
        <f t="shared" si="0"/>
        <v>4.0212385965949355</v>
      </c>
      <c r="C10">
        <f t="shared" si="1"/>
        <v>-1.9262831069394735</v>
      </c>
      <c r="D10">
        <f t="shared" si="2"/>
        <v>0.16</v>
      </c>
      <c r="E10">
        <f t="shared" si="3"/>
        <v>8.0424771931898711</v>
      </c>
      <c r="F10">
        <f t="shared" si="4"/>
        <v>2.4557181268217216</v>
      </c>
      <c r="G10">
        <f t="shared" si="5"/>
        <v>2.6666666666666668E-2</v>
      </c>
      <c r="H10">
        <f t="shared" si="6"/>
        <v>1.3404128655316452</v>
      </c>
      <c r="I10">
        <f t="shared" si="7"/>
        <v>2.4339472571829006</v>
      </c>
    </row>
    <row r="11" spans="1:9" x14ac:dyDescent="0.3">
      <c r="A11">
        <f t="shared" si="8"/>
        <v>0.09</v>
      </c>
      <c r="B11">
        <f t="shared" si="0"/>
        <v>4.5238934211693023</v>
      </c>
      <c r="C11">
        <f t="shared" si="1"/>
        <v>-2.4557181268217216</v>
      </c>
      <c r="D11">
        <f t="shared" si="2"/>
        <v>0.18</v>
      </c>
      <c r="E11">
        <f t="shared" si="3"/>
        <v>9.0477868423386045</v>
      </c>
      <c r="F11">
        <f t="shared" si="4"/>
        <v>0.92031138171169491</v>
      </c>
      <c r="G11">
        <f t="shared" si="5"/>
        <v>0.03</v>
      </c>
      <c r="H11">
        <f t="shared" si="6"/>
        <v>1.5079644737231006</v>
      </c>
      <c r="I11">
        <f t="shared" si="7"/>
        <v>2.495066821070679</v>
      </c>
    </row>
    <row r="12" spans="1:9" x14ac:dyDescent="0.3">
      <c r="A12">
        <f t="shared" si="8"/>
        <v>9.9999999999999992E-2</v>
      </c>
      <c r="B12">
        <f t="shared" si="0"/>
        <v>5.026548245743669</v>
      </c>
      <c r="C12">
        <f t="shared" si="1"/>
        <v>-2.3776412907378841</v>
      </c>
      <c r="D12">
        <f t="shared" si="2"/>
        <v>0.19999999999999998</v>
      </c>
      <c r="E12">
        <f t="shared" si="3"/>
        <v>10.053096491487338</v>
      </c>
      <c r="F12">
        <f t="shared" si="4"/>
        <v>-1.4694631307311821</v>
      </c>
      <c r="G12">
        <f t="shared" si="5"/>
        <v>3.3333333333333333E-2</v>
      </c>
      <c r="H12">
        <f t="shared" si="6"/>
        <v>1.6755160819145563</v>
      </c>
      <c r="I12">
        <f t="shared" si="7"/>
        <v>2.4863047384206833</v>
      </c>
    </row>
    <row r="13" spans="1:9" x14ac:dyDescent="0.3">
      <c r="A13">
        <f t="shared" si="8"/>
        <v>0.10999999999999999</v>
      </c>
      <c r="B13">
        <f t="shared" si="0"/>
        <v>5.5292030703180348</v>
      </c>
      <c r="C13">
        <f t="shared" si="1"/>
        <v>-1.711367764821724</v>
      </c>
      <c r="D13">
        <f t="shared" si="2"/>
        <v>0.21999999999999997</v>
      </c>
      <c r="E13">
        <f t="shared" si="3"/>
        <v>11.05840614063607</v>
      </c>
      <c r="F13">
        <f t="shared" si="4"/>
        <v>-2.495066821070679</v>
      </c>
      <c r="G13">
        <f t="shared" si="5"/>
        <v>3.666666666666666E-2</v>
      </c>
      <c r="H13">
        <f t="shared" si="6"/>
        <v>1.8430676901060117</v>
      </c>
      <c r="I13">
        <f t="shared" si="7"/>
        <v>2.4079064169941455</v>
      </c>
    </row>
    <row r="14" spans="1:9" x14ac:dyDescent="0.3">
      <c r="A14">
        <f t="shared" si="8"/>
        <v>0.11999999999999998</v>
      </c>
      <c r="B14">
        <f t="shared" si="0"/>
        <v>6.0318578948924015</v>
      </c>
      <c r="C14">
        <f t="shared" si="1"/>
        <v>-0.62172471791214057</v>
      </c>
      <c r="D14">
        <f t="shared" si="2"/>
        <v>0.23999999999999996</v>
      </c>
      <c r="E14">
        <f t="shared" si="3"/>
        <v>12.063715789784803</v>
      </c>
      <c r="F14">
        <f t="shared" si="4"/>
        <v>-1.2043841852542947</v>
      </c>
      <c r="G14">
        <f t="shared" si="5"/>
        <v>3.9999999999999994E-2</v>
      </c>
      <c r="H14">
        <f t="shared" si="6"/>
        <v>2.0106192982974673</v>
      </c>
      <c r="I14">
        <f t="shared" si="7"/>
        <v>2.2620676311650492</v>
      </c>
    </row>
    <row r="15" spans="1:9" x14ac:dyDescent="0.3">
      <c r="A15">
        <f t="shared" si="8"/>
        <v>0.12999999999999998</v>
      </c>
      <c r="B15">
        <f t="shared" si="0"/>
        <v>6.5345127194667683</v>
      </c>
      <c r="C15">
        <f t="shared" si="1"/>
        <v>0.62172471791213291</v>
      </c>
      <c r="D15">
        <f t="shared" si="2"/>
        <v>0.25999999999999995</v>
      </c>
      <c r="E15">
        <f t="shared" si="3"/>
        <v>13.069025438933537</v>
      </c>
      <c r="F15">
        <f t="shared" si="4"/>
        <v>1.2043841852542809</v>
      </c>
      <c r="G15">
        <f t="shared" si="5"/>
        <v>4.3333333333333328E-2</v>
      </c>
      <c r="H15">
        <f t="shared" si="6"/>
        <v>2.1781709064889228</v>
      </c>
      <c r="I15">
        <f t="shared" si="7"/>
        <v>2.0528730228342611</v>
      </c>
    </row>
    <row r="16" spans="1:9" x14ac:dyDescent="0.3">
      <c r="A16">
        <f t="shared" si="8"/>
        <v>0.13999999999999999</v>
      </c>
      <c r="B16">
        <f t="shared" si="0"/>
        <v>7.0371675440411359</v>
      </c>
      <c r="C16">
        <f t="shared" si="1"/>
        <v>1.7113677648217198</v>
      </c>
      <c r="D16">
        <f t="shared" si="2"/>
        <v>0.27999999999999997</v>
      </c>
      <c r="E16">
        <f t="shared" si="3"/>
        <v>14.074335088082272</v>
      </c>
      <c r="F16">
        <f t="shared" si="4"/>
        <v>2.4950668210706786</v>
      </c>
      <c r="G16">
        <f t="shared" si="5"/>
        <v>4.6666666666666662E-2</v>
      </c>
      <c r="H16">
        <f t="shared" si="6"/>
        <v>2.3457225146803786</v>
      </c>
      <c r="I16">
        <f t="shared" si="7"/>
        <v>1.786181699082009</v>
      </c>
    </row>
    <row r="17" spans="1:9" x14ac:dyDescent="0.3">
      <c r="A17">
        <f t="shared" si="8"/>
        <v>0.15</v>
      </c>
      <c r="B17">
        <f t="shared" si="0"/>
        <v>7.5398223686155035</v>
      </c>
      <c r="C17">
        <f t="shared" si="1"/>
        <v>2.3776412907378837</v>
      </c>
      <c r="D17">
        <f t="shared" si="2"/>
        <v>0.3</v>
      </c>
      <c r="E17">
        <f t="shared" si="3"/>
        <v>15.079644737231007</v>
      </c>
      <c r="F17">
        <f t="shared" si="4"/>
        <v>1.4694631307311838</v>
      </c>
      <c r="G17">
        <f t="shared" si="5"/>
        <v>4.9999999999999996E-2</v>
      </c>
      <c r="H17">
        <f t="shared" si="6"/>
        <v>2.5132741228718345</v>
      </c>
      <c r="I17">
        <f t="shared" si="7"/>
        <v>1.4694631307311832</v>
      </c>
    </row>
    <row r="18" spans="1:9" x14ac:dyDescent="0.3">
      <c r="A18">
        <f t="shared" si="8"/>
        <v>0.16</v>
      </c>
      <c r="B18">
        <f t="shared" si="0"/>
        <v>8.0424771931898711</v>
      </c>
      <c r="C18">
        <f t="shared" si="1"/>
        <v>2.4557181268217216</v>
      </c>
      <c r="D18">
        <f t="shared" si="2"/>
        <v>0.32</v>
      </c>
      <c r="E18">
        <f t="shared" si="3"/>
        <v>16.084954386379742</v>
      </c>
      <c r="F18">
        <f t="shared" si="4"/>
        <v>-0.9203113817116968</v>
      </c>
      <c r="G18">
        <f t="shared" si="5"/>
        <v>5.3333333333333337E-2</v>
      </c>
      <c r="H18">
        <f t="shared" si="6"/>
        <v>2.6808257310632904</v>
      </c>
      <c r="I18">
        <f t="shared" si="7"/>
        <v>1.1115879479623183</v>
      </c>
    </row>
    <row r="19" spans="1:9" x14ac:dyDescent="0.3">
      <c r="A19">
        <f t="shared" si="8"/>
        <v>0.17</v>
      </c>
      <c r="B19">
        <f t="shared" si="0"/>
        <v>8.5451320177642387</v>
      </c>
      <c r="C19">
        <f t="shared" si="1"/>
        <v>1.9262831069394715</v>
      </c>
      <c r="D19">
        <f t="shared" si="2"/>
        <v>0.34</v>
      </c>
      <c r="E19">
        <f t="shared" si="3"/>
        <v>17.090264035528477</v>
      </c>
      <c r="F19">
        <f t="shared" si="4"/>
        <v>-2.4557181268217225</v>
      </c>
      <c r="G19">
        <f t="shared" si="5"/>
        <v>5.6666666666666671E-2</v>
      </c>
      <c r="H19">
        <f t="shared" si="6"/>
        <v>2.8483773392547458</v>
      </c>
      <c r="I19">
        <f t="shared" si="7"/>
        <v>0.72257949236117924</v>
      </c>
    </row>
    <row r="20" spans="1:9" x14ac:dyDescent="0.3">
      <c r="A20">
        <f t="shared" si="8"/>
        <v>0.18000000000000002</v>
      </c>
      <c r="B20">
        <f t="shared" si="0"/>
        <v>9.0477868423386045</v>
      </c>
      <c r="C20">
        <f t="shared" si="1"/>
        <v>0.92031138171169491</v>
      </c>
      <c r="D20">
        <f t="shared" si="2"/>
        <v>0.36000000000000004</v>
      </c>
      <c r="E20">
        <f t="shared" si="3"/>
        <v>18.095573684677209</v>
      </c>
      <c r="F20">
        <f t="shared" si="4"/>
        <v>-1.7113677648217216</v>
      </c>
      <c r="G20">
        <f t="shared" si="5"/>
        <v>6.0000000000000005E-2</v>
      </c>
      <c r="H20">
        <f t="shared" si="6"/>
        <v>3.0159289474462017</v>
      </c>
      <c r="I20">
        <f t="shared" si="7"/>
        <v>0.3133330839107602</v>
      </c>
    </row>
    <row r="21" spans="1:9" x14ac:dyDescent="0.3">
      <c r="A21">
        <f t="shared" si="8"/>
        <v>0.19000000000000003</v>
      </c>
      <c r="B21">
        <f t="shared" si="0"/>
        <v>9.5504416669129721</v>
      </c>
      <c r="C21">
        <f t="shared" si="1"/>
        <v>-0.31333308391076231</v>
      </c>
      <c r="D21">
        <f t="shared" si="2"/>
        <v>0.38000000000000006</v>
      </c>
      <c r="E21">
        <f t="shared" si="3"/>
        <v>19.100883333825944</v>
      </c>
      <c r="F21">
        <f t="shared" si="4"/>
        <v>0.62172471791214035</v>
      </c>
      <c r="G21">
        <f t="shared" si="5"/>
        <v>6.3333333333333339E-2</v>
      </c>
      <c r="H21">
        <f t="shared" si="6"/>
        <v>3.1834805556376571</v>
      </c>
      <c r="I21">
        <f t="shared" si="7"/>
        <v>-0.10468913432299892</v>
      </c>
    </row>
    <row r="22" spans="1:9" x14ac:dyDescent="0.3">
      <c r="A22">
        <f t="shared" si="8"/>
        <v>0.20000000000000004</v>
      </c>
      <c r="B22">
        <f t="shared" si="0"/>
        <v>10.05309649148734</v>
      </c>
      <c r="C22">
        <f t="shared" si="1"/>
        <v>-1.4694631307311856</v>
      </c>
      <c r="D22">
        <f t="shared" si="2"/>
        <v>0.40000000000000008</v>
      </c>
      <c r="E22">
        <f t="shared" si="3"/>
        <v>20.106192982974679</v>
      </c>
      <c r="F22">
        <f t="shared" si="4"/>
        <v>2.3776412907378859</v>
      </c>
      <c r="G22">
        <f t="shared" si="5"/>
        <v>6.666666666666668E-2</v>
      </c>
      <c r="H22">
        <f t="shared" si="6"/>
        <v>3.3510321638291134</v>
      </c>
      <c r="I22">
        <f t="shared" si="7"/>
        <v>-0.51977922704439983</v>
      </c>
    </row>
    <row r="23" spans="1:9" x14ac:dyDescent="0.3">
      <c r="A23">
        <f t="shared" si="8"/>
        <v>0.21000000000000005</v>
      </c>
      <c r="B23">
        <f t="shared" si="0"/>
        <v>10.555751316061707</v>
      </c>
      <c r="C23">
        <f t="shared" si="1"/>
        <v>-2.2620676311650509</v>
      </c>
      <c r="D23">
        <f t="shared" si="2"/>
        <v>0.4200000000000001</v>
      </c>
      <c r="E23">
        <f t="shared" si="3"/>
        <v>21.111502632123415</v>
      </c>
      <c r="F23">
        <f t="shared" si="4"/>
        <v>1.9262831069394664</v>
      </c>
      <c r="G23">
        <f t="shared" si="5"/>
        <v>7.0000000000000021E-2</v>
      </c>
      <c r="H23">
        <f t="shared" si="6"/>
        <v>3.5185837720205693</v>
      </c>
      <c r="I23">
        <f t="shared" si="7"/>
        <v>-0.92031138171169691</v>
      </c>
    </row>
    <row r="24" spans="1:9" x14ac:dyDescent="0.3">
      <c r="A24">
        <f t="shared" si="8"/>
        <v>0.22000000000000006</v>
      </c>
      <c r="B24">
        <f t="shared" si="0"/>
        <v>11.058406140636075</v>
      </c>
      <c r="C24">
        <f t="shared" si="1"/>
        <v>-2.4950668210706786</v>
      </c>
      <c r="D24">
        <f t="shared" si="2"/>
        <v>0.44000000000000011</v>
      </c>
      <c r="E24">
        <f t="shared" si="3"/>
        <v>22.11681228127215</v>
      </c>
      <c r="F24">
        <f t="shared" si="4"/>
        <v>-0.3133330839107743</v>
      </c>
      <c r="G24">
        <f t="shared" si="5"/>
        <v>7.3333333333333348E-2</v>
      </c>
      <c r="H24">
        <f t="shared" si="6"/>
        <v>3.6861353802120247</v>
      </c>
      <c r="I24">
        <f t="shared" si="7"/>
        <v>-1.2950675234328268</v>
      </c>
    </row>
    <row r="25" spans="1:9" x14ac:dyDescent="0.3">
      <c r="A25">
        <f t="shared" si="8"/>
        <v>0.23000000000000007</v>
      </c>
      <c r="B25">
        <f t="shared" si="0"/>
        <v>11.561060965210443</v>
      </c>
      <c r="C25">
        <f t="shared" si="1"/>
        <v>-2.1108198137550329</v>
      </c>
      <c r="D25">
        <f t="shared" si="2"/>
        <v>0.46000000000000013</v>
      </c>
      <c r="E25">
        <f t="shared" si="3"/>
        <v>23.122121930420885</v>
      </c>
      <c r="F25">
        <f t="shared" si="4"/>
        <v>-2.2620676311650563</v>
      </c>
      <c r="G25">
        <f t="shared" si="5"/>
        <v>7.6666666666666689E-2</v>
      </c>
      <c r="H25">
        <f t="shared" si="6"/>
        <v>3.8536869884034806</v>
      </c>
      <c r="I25">
        <f t="shared" si="7"/>
        <v>-1.6335515099752651</v>
      </c>
    </row>
    <row r="26" spans="1:9" x14ac:dyDescent="0.3">
      <c r="A26">
        <f t="shared" si="8"/>
        <v>0.24000000000000007</v>
      </c>
      <c r="B26">
        <f t="shared" si="0"/>
        <v>12.06371578978481</v>
      </c>
      <c r="C26">
        <f t="shared" si="1"/>
        <v>-1.2043841852542791</v>
      </c>
      <c r="D26">
        <f t="shared" si="2"/>
        <v>0.48000000000000015</v>
      </c>
      <c r="E26">
        <f t="shared" si="3"/>
        <v>24.12743157956962</v>
      </c>
      <c r="F26">
        <f t="shared" si="4"/>
        <v>-2.1108198137550267</v>
      </c>
      <c r="G26">
        <f t="shared" si="5"/>
        <v>8.0000000000000029E-2</v>
      </c>
      <c r="H26">
        <f t="shared" si="6"/>
        <v>4.0212385965949364</v>
      </c>
      <c r="I26">
        <f t="shared" si="7"/>
        <v>-1.9262831069394748</v>
      </c>
    </row>
    <row r="27" spans="1:9" x14ac:dyDescent="0.3">
      <c r="A27">
        <f t="shared" si="8"/>
        <v>0.25000000000000006</v>
      </c>
      <c r="B27">
        <f t="shared" si="0"/>
        <v>12.566370614359176</v>
      </c>
      <c r="C27">
        <f t="shared" si="1"/>
        <v>7.6566357420926323E-15</v>
      </c>
      <c r="D27">
        <f t="shared" si="2"/>
        <v>0.50000000000000011</v>
      </c>
      <c r="E27">
        <f t="shared" si="3"/>
        <v>25.132741228718352</v>
      </c>
      <c r="F27">
        <f t="shared" si="4"/>
        <v>1.5313271484185265E-14</v>
      </c>
      <c r="G27">
        <f t="shared" si="5"/>
        <v>8.3333333333333356E-2</v>
      </c>
      <c r="H27">
        <f t="shared" si="6"/>
        <v>4.1887902047863923</v>
      </c>
      <c r="I27">
        <f t="shared" si="7"/>
        <v>-2.1650635094610982</v>
      </c>
    </row>
    <row r="28" spans="1:9" x14ac:dyDescent="0.3">
      <c r="A28">
        <f t="shared" si="8"/>
        <v>0.26000000000000006</v>
      </c>
      <c r="B28">
        <f t="shared" si="0"/>
        <v>13.069025438933542</v>
      </c>
      <c r="C28">
        <f t="shared" si="1"/>
        <v>1.2043841852542925</v>
      </c>
      <c r="D28">
        <f t="shared" si="2"/>
        <v>0.52000000000000013</v>
      </c>
      <c r="E28">
        <f t="shared" si="3"/>
        <v>26.138050877867084</v>
      </c>
      <c r="F28">
        <f t="shared" si="4"/>
        <v>2.1108198137550431</v>
      </c>
      <c r="G28">
        <f t="shared" si="5"/>
        <v>8.6666666666666684E-2</v>
      </c>
      <c r="H28">
        <f t="shared" si="6"/>
        <v>4.3563418129778473</v>
      </c>
      <c r="I28">
        <f t="shared" si="7"/>
        <v>-2.3432049737297294</v>
      </c>
    </row>
    <row r="29" spans="1:9" x14ac:dyDescent="0.3">
      <c r="A29">
        <f t="shared" si="8"/>
        <v>0.27000000000000007</v>
      </c>
      <c r="B29">
        <f t="shared" si="0"/>
        <v>13.571680263507909</v>
      </c>
      <c r="C29">
        <f t="shared" si="1"/>
        <v>2.1108198137550414</v>
      </c>
      <c r="D29">
        <f t="shared" si="2"/>
        <v>0.54000000000000015</v>
      </c>
      <c r="E29">
        <f t="shared" si="3"/>
        <v>27.143360527015819</v>
      </c>
      <c r="F29">
        <f t="shared" si="4"/>
        <v>2.2620676311650429</v>
      </c>
      <c r="G29">
        <f t="shared" si="5"/>
        <v>9.0000000000000024E-2</v>
      </c>
      <c r="H29">
        <f t="shared" si="6"/>
        <v>4.5238934211693032</v>
      </c>
      <c r="I29">
        <f t="shared" si="7"/>
        <v>-2.4557181268217221</v>
      </c>
    </row>
    <row r="30" spans="1:9" x14ac:dyDescent="0.3">
      <c r="A30">
        <f t="shared" si="8"/>
        <v>0.28000000000000008</v>
      </c>
      <c r="B30">
        <f t="shared" si="0"/>
        <v>14.074335088082277</v>
      </c>
      <c r="C30">
        <f t="shared" si="1"/>
        <v>2.4950668210706795</v>
      </c>
      <c r="D30">
        <f t="shared" si="2"/>
        <v>0.56000000000000016</v>
      </c>
      <c r="E30">
        <f t="shared" si="3"/>
        <v>28.148670176164554</v>
      </c>
      <c r="F30">
        <f t="shared" si="4"/>
        <v>0.31333308391074394</v>
      </c>
      <c r="G30">
        <f t="shared" si="5"/>
        <v>9.3333333333333365E-2</v>
      </c>
      <c r="H30">
        <f t="shared" si="6"/>
        <v>4.691445029360759</v>
      </c>
      <c r="I30">
        <f t="shared" si="7"/>
        <v>-2.499451708687114</v>
      </c>
    </row>
    <row r="31" spans="1:9" x14ac:dyDescent="0.3">
      <c r="A31">
        <f t="shared" si="8"/>
        <v>0.29000000000000009</v>
      </c>
      <c r="B31">
        <f t="shared" si="0"/>
        <v>14.576989912656645</v>
      </c>
      <c r="C31">
        <f t="shared" si="1"/>
        <v>2.2620676311650447</v>
      </c>
      <c r="D31">
        <f t="shared" si="2"/>
        <v>0.58000000000000018</v>
      </c>
      <c r="E31">
        <f t="shared" si="3"/>
        <v>29.153979825313289</v>
      </c>
      <c r="F31">
        <f t="shared" si="4"/>
        <v>-1.9262831069394859</v>
      </c>
      <c r="G31">
        <f t="shared" si="5"/>
        <v>9.6666666666666692E-2</v>
      </c>
      <c r="H31">
        <f t="shared" si="6"/>
        <v>4.8589966375522149</v>
      </c>
      <c r="I31">
        <f t="shared" si="7"/>
        <v>-2.4731808324074702</v>
      </c>
    </row>
    <row r="32" spans="1:9" x14ac:dyDescent="0.3">
      <c r="A32">
        <f t="shared" si="8"/>
        <v>0.3000000000000001</v>
      </c>
      <c r="B32">
        <f t="shared" si="0"/>
        <v>15.079644737231012</v>
      </c>
      <c r="C32">
        <f t="shared" si="1"/>
        <v>1.4694631307311732</v>
      </c>
      <c r="D32">
        <f t="shared" si="2"/>
        <v>0.6000000000000002</v>
      </c>
      <c r="E32">
        <f t="shared" si="3"/>
        <v>30.159289474462025</v>
      </c>
      <c r="F32">
        <f t="shared" si="4"/>
        <v>-2.3776412907378766</v>
      </c>
      <c r="G32">
        <f t="shared" si="5"/>
        <v>0.10000000000000003</v>
      </c>
      <c r="H32">
        <f t="shared" si="6"/>
        <v>5.0265482457436708</v>
      </c>
      <c r="I32">
        <f t="shared" si="7"/>
        <v>-2.3776412907378828</v>
      </c>
    </row>
    <row r="33" spans="1:9" x14ac:dyDescent="0.3">
      <c r="A33">
        <f t="shared" si="8"/>
        <v>0.31000000000000011</v>
      </c>
      <c r="B33">
        <f t="shared" si="0"/>
        <v>15.58229956180538</v>
      </c>
      <c r="C33">
        <f t="shared" si="1"/>
        <v>0.3133330839107471</v>
      </c>
      <c r="D33">
        <f t="shared" si="2"/>
        <v>0.62000000000000022</v>
      </c>
      <c r="E33">
        <f t="shared" si="3"/>
        <v>31.16459912361076</v>
      </c>
      <c r="F33">
        <f t="shared" si="4"/>
        <v>-0.6217247179121107</v>
      </c>
      <c r="G33">
        <f t="shared" si="5"/>
        <v>0.10333333333333337</v>
      </c>
      <c r="H33">
        <f t="shared" si="6"/>
        <v>5.1940998539351266</v>
      </c>
      <c r="I33">
        <f t="shared" si="7"/>
        <v>-2.2155089480780346</v>
      </c>
    </row>
    <row r="34" spans="1:9" x14ac:dyDescent="0.3">
      <c r="A34">
        <f t="shared" si="8"/>
        <v>0.32000000000000012</v>
      </c>
      <c r="B34">
        <f t="shared" si="0"/>
        <v>16.084954386379746</v>
      </c>
      <c r="C34">
        <f t="shared" si="1"/>
        <v>-0.92031138171170501</v>
      </c>
      <c r="D34">
        <f t="shared" si="2"/>
        <v>0.64000000000000024</v>
      </c>
      <c r="E34">
        <f t="shared" si="3"/>
        <v>32.169908772759491</v>
      </c>
      <c r="F34">
        <f t="shared" si="4"/>
        <v>1.7113677648217376</v>
      </c>
      <c r="G34">
        <f t="shared" si="5"/>
        <v>0.1066666666666667</v>
      </c>
      <c r="H34">
        <f t="shared" si="6"/>
        <v>5.3616514621265816</v>
      </c>
      <c r="I34">
        <f t="shared" si="7"/>
        <v>-1.9913247950604891</v>
      </c>
    </row>
    <row r="35" spans="1:9" x14ac:dyDescent="0.3">
      <c r="A35">
        <f t="shared" si="8"/>
        <v>0.33000000000000013</v>
      </c>
      <c r="B35">
        <f t="shared" si="0"/>
        <v>16.587609210954113</v>
      </c>
      <c r="C35">
        <f t="shared" si="1"/>
        <v>-1.9262831069394812</v>
      </c>
      <c r="D35">
        <f t="shared" si="2"/>
        <v>0.66000000000000025</v>
      </c>
      <c r="E35">
        <f t="shared" si="3"/>
        <v>33.175218421908227</v>
      </c>
      <c r="F35">
        <f t="shared" si="4"/>
        <v>2.4557181268217172</v>
      </c>
      <c r="G35">
        <f t="shared" si="5"/>
        <v>0.11000000000000004</v>
      </c>
      <c r="H35">
        <f t="shared" si="6"/>
        <v>5.5292030703180384</v>
      </c>
      <c r="I35">
        <f t="shared" si="7"/>
        <v>-1.7113677648217176</v>
      </c>
    </row>
    <row r="36" spans="1:9" x14ac:dyDescent="0.3">
      <c r="A36">
        <f t="shared" si="8"/>
        <v>0.34000000000000014</v>
      </c>
      <c r="B36">
        <f t="shared" si="0"/>
        <v>17.090264035528481</v>
      </c>
      <c r="C36">
        <f t="shared" si="1"/>
        <v>-2.4557181268217243</v>
      </c>
      <c r="D36">
        <f t="shared" si="2"/>
        <v>0.68000000000000027</v>
      </c>
      <c r="E36">
        <f t="shared" si="3"/>
        <v>34.180528071056962</v>
      </c>
      <c r="F36">
        <f t="shared" si="4"/>
        <v>0.92031138171166826</v>
      </c>
      <c r="G36">
        <f t="shared" si="5"/>
        <v>0.11333333333333338</v>
      </c>
      <c r="H36">
        <f t="shared" si="6"/>
        <v>5.6967546785094942</v>
      </c>
      <c r="I36">
        <f t="shared" si="7"/>
        <v>-1.3834788731083549</v>
      </c>
    </row>
    <row r="37" spans="1:9" x14ac:dyDescent="0.3">
      <c r="A37">
        <f t="shared" si="8"/>
        <v>0.35000000000000014</v>
      </c>
      <c r="B37">
        <f t="shared" si="0"/>
        <v>17.592918860102849</v>
      </c>
      <c r="C37">
        <f t="shared" si="1"/>
        <v>-2.3776412907378792</v>
      </c>
      <c r="D37">
        <f t="shared" si="2"/>
        <v>0.70000000000000029</v>
      </c>
      <c r="E37">
        <f t="shared" si="3"/>
        <v>35.185837720205697</v>
      </c>
      <c r="F37">
        <f t="shared" si="4"/>
        <v>-1.4694631307312087</v>
      </c>
      <c r="G37">
        <f t="shared" si="5"/>
        <v>0.11666666666666671</v>
      </c>
      <c r="H37">
        <f t="shared" si="6"/>
        <v>5.8643062867009492</v>
      </c>
      <c r="I37">
        <f t="shared" si="7"/>
        <v>-1.0168416076894964</v>
      </c>
    </row>
    <row r="38" spans="1:9" x14ac:dyDescent="0.3">
      <c r="A38">
        <f t="shared" si="8"/>
        <v>0.36000000000000015</v>
      </c>
      <c r="B38">
        <f t="shared" si="0"/>
        <v>18.095573684677216</v>
      </c>
      <c r="C38">
        <f t="shared" si="1"/>
        <v>-1.7113677648217087</v>
      </c>
      <c r="D38">
        <f t="shared" si="2"/>
        <v>0.72000000000000031</v>
      </c>
      <c r="E38">
        <f t="shared" si="3"/>
        <v>36.191147369354432</v>
      </c>
      <c r="F38">
        <f t="shared" si="4"/>
        <v>-2.4950668210706768</v>
      </c>
      <c r="G38">
        <f t="shared" si="5"/>
        <v>0.12000000000000005</v>
      </c>
      <c r="H38">
        <f t="shared" si="6"/>
        <v>6.0318578948924051</v>
      </c>
      <c r="I38">
        <f t="shared" si="7"/>
        <v>-0.62172471791213191</v>
      </c>
    </row>
    <row r="39" spans="1:9" x14ac:dyDescent="0.3">
      <c r="A39">
        <f t="shared" si="8"/>
        <v>0.37000000000000016</v>
      </c>
      <c r="B39">
        <f t="shared" si="0"/>
        <v>18.598228509251584</v>
      </c>
      <c r="C39">
        <f t="shared" si="1"/>
        <v>-0.62172471791211814</v>
      </c>
      <c r="D39">
        <f t="shared" si="2"/>
        <v>0.74000000000000032</v>
      </c>
      <c r="E39">
        <f t="shared" si="3"/>
        <v>37.196457018503168</v>
      </c>
      <c r="F39">
        <f t="shared" si="4"/>
        <v>-1.2043841852542541</v>
      </c>
      <c r="G39">
        <f t="shared" si="5"/>
        <v>0.12333333333333339</v>
      </c>
      <c r="H39">
        <f t="shared" si="6"/>
        <v>6.199409503083861</v>
      </c>
      <c r="I39">
        <f t="shared" si="7"/>
        <v>-0.20919460833078299</v>
      </c>
    </row>
    <row r="40" spans="1:9" x14ac:dyDescent="0.3">
      <c r="A40">
        <f t="shared" si="8"/>
        <v>0.38000000000000017</v>
      </c>
      <c r="B40">
        <f t="shared" si="0"/>
        <v>19.100883333825951</v>
      </c>
      <c r="C40">
        <f t="shared" si="1"/>
        <v>0.62172471791215755</v>
      </c>
      <c r="D40">
        <f t="shared" si="2"/>
        <v>0.76000000000000034</v>
      </c>
      <c r="E40">
        <f t="shared" si="3"/>
        <v>38.201766667651903</v>
      </c>
      <c r="F40">
        <f t="shared" si="4"/>
        <v>1.2043841852543253</v>
      </c>
      <c r="G40">
        <f t="shared" si="5"/>
        <v>0.12666666666666673</v>
      </c>
      <c r="H40">
        <f t="shared" si="6"/>
        <v>6.3669611112753177</v>
      </c>
      <c r="I40">
        <f t="shared" si="7"/>
        <v>0.20919460833079723</v>
      </c>
    </row>
    <row r="41" spans="1:9" x14ac:dyDescent="0.3">
      <c r="A41">
        <f t="shared" si="8"/>
        <v>0.39000000000000018</v>
      </c>
      <c r="B41">
        <f t="shared" si="0"/>
        <v>19.603538158400319</v>
      </c>
      <c r="C41">
        <f t="shared" si="1"/>
        <v>1.7113677648217385</v>
      </c>
      <c r="D41">
        <f t="shared" si="2"/>
        <v>0.78000000000000036</v>
      </c>
      <c r="E41">
        <f t="shared" si="3"/>
        <v>39.207076316800638</v>
      </c>
      <c r="F41">
        <f t="shared" si="4"/>
        <v>2.4950668210706817</v>
      </c>
      <c r="G41">
        <f t="shared" si="5"/>
        <v>0.13000000000000006</v>
      </c>
      <c r="H41">
        <f t="shared" si="6"/>
        <v>6.5345127194667727</v>
      </c>
      <c r="I41">
        <f t="shared" si="7"/>
        <v>0.62172471791214368</v>
      </c>
    </row>
    <row r="42" spans="1:9" x14ac:dyDescent="0.3">
      <c r="A42">
        <f t="shared" si="8"/>
        <v>0.40000000000000019</v>
      </c>
      <c r="B42">
        <f t="shared" si="0"/>
        <v>20.106192982974687</v>
      </c>
      <c r="C42">
        <f t="shared" si="1"/>
        <v>2.3776412907378917</v>
      </c>
      <c r="D42">
        <f t="shared" si="2"/>
        <v>0.80000000000000038</v>
      </c>
      <c r="E42">
        <f t="shared" si="3"/>
        <v>40.212385965949373</v>
      </c>
      <c r="F42">
        <f t="shared" si="4"/>
        <v>1.469463130731143</v>
      </c>
      <c r="G42">
        <f t="shared" si="5"/>
        <v>0.13333333333333339</v>
      </c>
      <c r="H42">
        <f t="shared" si="6"/>
        <v>6.7020643276582277</v>
      </c>
      <c r="I42">
        <f t="shared" si="7"/>
        <v>1.0168416076895053</v>
      </c>
    </row>
    <row r="43" spans="1:9" x14ac:dyDescent="0.3">
      <c r="A43">
        <f t="shared" si="8"/>
        <v>0.4100000000000002</v>
      </c>
      <c r="B43">
        <f t="shared" si="0"/>
        <v>20.608847807549054</v>
      </c>
      <c r="C43">
        <f t="shared" si="1"/>
        <v>2.4557181268217168</v>
      </c>
      <c r="D43">
        <f t="shared" si="2"/>
        <v>0.8200000000000004</v>
      </c>
      <c r="E43">
        <f t="shared" si="3"/>
        <v>41.217695615098108</v>
      </c>
      <c r="F43">
        <f t="shared" si="4"/>
        <v>-0.92031138171174409</v>
      </c>
      <c r="G43">
        <f t="shared" si="5"/>
        <v>0.13666666666666674</v>
      </c>
      <c r="H43">
        <f t="shared" si="6"/>
        <v>6.8696159358496844</v>
      </c>
      <c r="I43">
        <f t="shared" si="7"/>
        <v>1.3834788731083669</v>
      </c>
    </row>
    <row r="44" spans="1:9" x14ac:dyDescent="0.3">
      <c r="A44">
        <f t="shared" si="8"/>
        <v>0.42000000000000021</v>
      </c>
      <c r="B44">
        <f t="shared" si="0"/>
        <v>21.111502632123422</v>
      </c>
      <c r="C44">
        <f t="shared" si="1"/>
        <v>1.926283106939455</v>
      </c>
      <c r="D44">
        <f t="shared" si="2"/>
        <v>0.84000000000000041</v>
      </c>
      <c r="E44">
        <f t="shared" si="3"/>
        <v>42.223005264246844</v>
      </c>
      <c r="F44">
        <f t="shared" si="4"/>
        <v>-2.4557181268217323</v>
      </c>
      <c r="G44">
        <f t="shared" si="5"/>
        <v>0.14000000000000007</v>
      </c>
      <c r="H44">
        <f t="shared" si="6"/>
        <v>7.0371675440411403</v>
      </c>
      <c r="I44">
        <f t="shared" si="7"/>
        <v>1.7113677648217278</v>
      </c>
    </row>
    <row r="45" spans="1:9" x14ac:dyDescent="0.3">
      <c r="A45">
        <f t="shared" si="8"/>
        <v>0.43000000000000022</v>
      </c>
      <c r="B45">
        <f t="shared" si="0"/>
        <v>21.614157456697786</v>
      </c>
      <c r="C45">
        <f t="shared" si="1"/>
        <v>0.92031138171167537</v>
      </c>
      <c r="D45">
        <f t="shared" si="2"/>
        <v>0.86000000000000043</v>
      </c>
      <c r="E45">
        <f t="shared" si="3"/>
        <v>43.228314913395572</v>
      </c>
      <c r="F45">
        <f t="shared" si="4"/>
        <v>-1.711367764821691</v>
      </c>
      <c r="G45">
        <f t="shared" si="5"/>
        <v>0.1433333333333334</v>
      </c>
      <c r="H45">
        <f t="shared" si="6"/>
        <v>7.2047191522325953</v>
      </c>
      <c r="I45">
        <f t="shared" si="7"/>
        <v>1.9913247950604949</v>
      </c>
    </row>
    <row r="46" spans="1:9" x14ac:dyDescent="0.3">
      <c r="A46">
        <f t="shared" si="8"/>
        <v>0.44000000000000022</v>
      </c>
      <c r="B46">
        <f t="shared" si="0"/>
        <v>22.116812281272153</v>
      </c>
      <c r="C46">
        <f t="shared" si="1"/>
        <v>-0.31333308391078313</v>
      </c>
      <c r="D46">
        <f t="shared" si="2"/>
        <v>0.88000000000000045</v>
      </c>
      <c r="E46">
        <f t="shared" si="3"/>
        <v>44.233624562544307</v>
      </c>
      <c r="F46">
        <f t="shared" si="4"/>
        <v>0.62172471791218098</v>
      </c>
      <c r="G46">
        <f t="shared" si="5"/>
        <v>0.14666666666666675</v>
      </c>
      <c r="H46">
        <f t="shared" si="6"/>
        <v>7.372270760424052</v>
      </c>
      <c r="I46">
        <f t="shared" si="7"/>
        <v>2.2155089480780412</v>
      </c>
    </row>
    <row r="47" spans="1:9" x14ac:dyDescent="0.3">
      <c r="A47">
        <f t="shared" si="8"/>
        <v>0.45000000000000023</v>
      </c>
      <c r="B47">
        <f t="shared" si="0"/>
        <v>22.619467105846521</v>
      </c>
      <c r="C47">
        <f t="shared" si="1"/>
        <v>-1.4694631307312025</v>
      </c>
      <c r="D47">
        <f t="shared" si="2"/>
        <v>0.90000000000000047</v>
      </c>
      <c r="E47">
        <f t="shared" si="3"/>
        <v>45.238934211693042</v>
      </c>
      <c r="F47">
        <f t="shared" si="4"/>
        <v>2.3776412907378992</v>
      </c>
      <c r="G47">
        <f t="shared" si="5"/>
        <v>0.15000000000000008</v>
      </c>
      <c r="H47">
        <f t="shared" si="6"/>
        <v>7.539822368615507</v>
      </c>
      <c r="I47">
        <f t="shared" si="7"/>
        <v>2.3776412907378863</v>
      </c>
    </row>
    <row r="48" spans="1:9" x14ac:dyDescent="0.3">
      <c r="A48">
        <f t="shared" si="8"/>
        <v>0.46000000000000024</v>
      </c>
      <c r="B48">
        <f t="shared" si="0"/>
        <v>23.122121930420889</v>
      </c>
      <c r="C48">
        <f t="shared" si="1"/>
        <v>-2.2620676311650598</v>
      </c>
      <c r="D48">
        <f t="shared" si="2"/>
        <v>0.92000000000000048</v>
      </c>
      <c r="E48">
        <f t="shared" si="3"/>
        <v>46.244243860841777</v>
      </c>
      <c r="F48">
        <f t="shared" si="4"/>
        <v>1.9262831069394397</v>
      </c>
      <c r="G48">
        <f t="shared" si="5"/>
        <v>0.1533333333333334</v>
      </c>
      <c r="H48">
        <f t="shared" si="6"/>
        <v>7.7073739768069629</v>
      </c>
      <c r="I48">
        <f t="shared" si="7"/>
        <v>2.473180832407472</v>
      </c>
    </row>
    <row r="49" spans="1:9" x14ac:dyDescent="0.3">
      <c r="A49">
        <f t="shared" si="8"/>
        <v>0.47000000000000025</v>
      </c>
      <c r="B49">
        <f t="shared" si="0"/>
        <v>23.624776754995256</v>
      </c>
      <c r="C49">
        <f t="shared" si="1"/>
        <v>-2.4950668210706772</v>
      </c>
      <c r="D49">
        <f t="shared" si="2"/>
        <v>0.9400000000000005</v>
      </c>
      <c r="E49">
        <f t="shared" si="3"/>
        <v>47.249553509990513</v>
      </c>
      <c r="F49">
        <f t="shared" si="4"/>
        <v>-0.31333308391081593</v>
      </c>
      <c r="G49">
        <f t="shared" si="5"/>
        <v>0.15666666666666676</v>
      </c>
      <c r="H49">
        <f t="shared" si="6"/>
        <v>7.8749255849984197</v>
      </c>
      <c r="I49">
        <f t="shared" si="7"/>
        <v>2.4994517086871135</v>
      </c>
    </row>
    <row r="50" spans="1:9" x14ac:dyDescent="0.3">
      <c r="A50">
        <f t="shared" si="8"/>
        <v>0.48000000000000026</v>
      </c>
      <c r="B50">
        <f t="shared" si="0"/>
        <v>24.127431579569624</v>
      </c>
      <c r="C50">
        <f t="shared" si="1"/>
        <v>-2.1108198137550218</v>
      </c>
      <c r="D50">
        <f t="shared" si="2"/>
        <v>0.96000000000000052</v>
      </c>
      <c r="E50">
        <f t="shared" si="3"/>
        <v>48.254863159139248</v>
      </c>
      <c r="F50">
        <f t="shared" si="4"/>
        <v>-2.262067631165074</v>
      </c>
      <c r="G50">
        <f t="shared" si="5"/>
        <v>0.16000000000000009</v>
      </c>
      <c r="H50">
        <f t="shared" si="6"/>
        <v>8.0424771931898746</v>
      </c>
      <c r="I50">
        <f t="shared" si="7"/>
        <v>2.4557181268217199</v>
      </c>
    </row>
    <row r="51" spans="1:9" x14ac:dyDescent="0.3">
      <c r="A51">
        <f t="shared" si="8"/>
        <v>0.49000000000000027</v>
      </c>
      <c r="B51">
        <f t="shared" si="0"/>
        <v>24.630086404143992</v>
      </c>
      <c r="C51">
        <f t="shared" si="1"/>
        <v>-1.2043841852542607</v>
      </c>
      <c r="D51">
        <f t="shared" si="2"/>
        <v>0.98000000000000054</v>
      </c>
      <c r="E51">
        <f t="shared" si="3"/>
        <v>49.260172808287983</v>
      </c>
      <c r="F51">
        <f t="shared" si="4"/>
        <v>-2.110819813755004</v>
      </c>
      <c r="G51">
        <f t="shared" si="5"/>
        <v>0.16333333333333341</v>
      </c>
      <c r="H51">
        <f t="shared" si="6"/>
        <v>8.2100288013813305</v>
      </c>
      <c r="I51">
        <f t="shared" si="7"/>
        <v>2.3432049737297249</v>
      </c>
    </row>
    <row r="52" spans="1:9" x14ac:dyDescent="0.3">
      <c r="A52">
        <f t="shared" si="8"/>
        <v>0.50000000000000022</v>
      </c>
      <c r="B52">
        <f t="shared" si="0"/>
        <v>25.132741228718356</v>
      </c>
      <c r="C52">
        <f t="shared" si="1"/>
        <v>2.4195055681186517E-14</v>
      </c>
      <c r="D52">
        <f t="shared" si="2"/>
        <v>1.0000000000000004</v>
      </c>
      <c r="E52">
        <f t="shared" si="3"/>
        <v>50.265482457436711</v>
      </c>
      <c r="F52">
        <f t="shared" si="4"/>
        <v>4.8390111362373034E-14</v>
      </c>
      <c r="G52">
        <f t="shared" si="5"/>
        <v>0.16666666666666674</v>
      </c>
      <c r="H52">
        <f t="shared" si="6"/>
        <v>8.3775804095727846</v>
      </c>
      <c r="I52">
        <f t="shared" si="7"/>
        <v>2.1650635094610933</v>
      </c>
    </row>
    <row r="53" spans="1:9" x14ac:dyDescent="0.3">
      <c r="A53">
        <f t="shared" si="8"/>
        <v>0.51000000000000023</v>
      </c>
      <c r="B53">
        <f t="shared" si="0"/>
        <v>25.635396053292723</v>
      </c>
      <c r="C53">
        <f t="shared" si="1"/>
        <v>1.2043841852543109</v>
      </c>
      <c r="D53">
        <f t="shared" si="2"/>
        <v>1.0200000000000005</v>
      </c>
      <c r="E53">
        <f t="shared" si="3"/>
        <v>51.270792106585446</v>
      </c>
      <c r="F53">
        <f t="shared" si="4"/>
        <v>2.1108198137550653</v>
      </c>
      <c r="G53">
        <f t="shared" si="5"/>
        <v>0.17000000000000007</v>
      </c>
      <c r="H53">
        <f t="shared" si="6"/>
        <v>8.5451320177642405</v>
      </c>
      <c r="I53">
        <f t="shared" si="7"/>
        <v>1.9262831069394684</v>
      </c>
    </row>
    <row r="54" spans="1:9" x14ac:dyDescent="0.3">
      <c r="A54">
        <f t="shared" si="8"/>
        <v>0.52000000000000024</v>
      </c>
      <c r="B54">
        <f t="shared" si="0"/>
        <v>26.138050877867091</v>
      </c>
      <c r="C54">
        <f t="shared" si="1"/>
        <v>2.1108198137550525</v>
      </c>
      <c r="D54">
        <f t="shared" si="2"/>
        <v>1.0400000000000005</v>
      </c>
      <c r="E54">
        <f t="shared" si="3"/>
        <v>52.276101755734182</v>
      </c>
      <c r="F54">
        <f t="shared" si="4"/>
        <v>2.2620676311650252</v>
      </c>
      <c r="G54">
        <f t="shared" si="5"/>
        <v>0.17333333333333342</v>
      </c>
      <c r="H54">
        <f t="shared" si="6"/>
        <v>8.7126836259556981</v>
      </c>
      <c r="I54">
        <f t="shared" si="7"/>
        <v>1.6335515099752542</v>
      </c>
    </row>
    <row r="55" spans="1:9" x14ac:dyDescent="0.3">
      <c r="A55">
        <f t="shared" si="8"/>
        <v>0.53000000000000025</v>
      </c>
      <c r="B55">
        <f t="shared" si="0"/>
        <v>26.640705702441458</v>
      </c>
      <c r="C55">
        <f t="shared" si="1"/>
        <v>2.4950668210706808</v>
      </c>
      <c r="D55">
        <f t="shared" si="2"/>
        <v>1.0600000000000005</v>
      </c>
      <c r="E55">
        <f t="shared" si="3"/>
        <v>53.281411404882917</v>
      </c>
      <c r="F55">
        <f t="shared" si="4"/>
        <v>0.3133330839107023</v>
      </c>
      <c r="G55">
        <f t="shared" si="5"/>
        <v>0.17666666666666675</v>
      </c>
      <c r="H55">
        <f t="shared" si="6"/>
        <v>8.8802352341471522</v>
      </c>
      <c r="I55">
        <f t="shared" si="7"/>
        <v>1.2950675234328184</v>
      </c>
    </row>
    <row r="56" spans="1:9" x14ac:dyDescent="0.3">
      <c r="A56">
        <f t="shared" si="8"/>
        <v>0.54000000000000026</v>
      </c>
      <c r="B56">
        <f t="shared" si="0"/>
        <v>27.143360527015826</v>
      </c>
      <c r="C56">
        <f t="shared" si="1"/>
        <v>2.2620676311650358</v>
      </c>
      <c r="D56">
        <f t="shared" si="2"/>
        <v>1.0800000000000005</v>
      </c>
      <c r="E56">
        <f t="shared" si="3"/>
        <v>54.286721054031652</v>
      </c>
      <c r="F56">
        <f t="shared" si="4"/>
        <v>-1.9262831069395128</v>
      </c>
      <c r="G56">
        <f t="shared" si="5"/>
        <v>0.18000000000000008</v>
      </c>
      <c r="H56">
        <f t="shared" si="6"/>
        <v>9.0477868423386081</v>
      </c>
      <c r="I56">
        <f t="shared" si="7"/>
        <v>0.92031138171168658</v>
      </c>
    </row>
    <row r="57" spans="1:9" x14ac:dyDescent="0.3">
      <c r="A57">
        <f t="shared" si="8"/>
        <v>0.55000000000000027</v>
      </c>
      <c r="B57">
        <f t="shared" si="0"/>
        <v>27.646015351590194</v>
      </c>
      <c r="C57">
        <f t="shared" si="1"/>
        <v>1.4694631307311563</v>
      </c>
      <c r="D57">
        <f t="shared" si="2"/>
        <v>1.1000000000000005</v>
      </c>
      <c r="E57">
        <f t="shared" si="3"/>
        <v>55.292030703180387</v>
      </c>
      <c r="F57">
        <f t="shared" si="4"/>
        <v>-2.3776412907378637</v>
      </c>
      <c r="G57">
        <f t="shared" si="5"/>
        <v>0.18333333333333343</v>
      </c>
      <c r="H57">
        <f t="shared" si="6"/>
        <v>9.215338450530064</v>
      </c>
      <c r="I57">
        <f t="shared" si="7"/>
        <v>0.51977922704438906</v>
      </c>
    </row>
    <row r="58" spans="1:9" x14ac:dyDescent="0.3">
      <c r="A58">
        <f t="shared" si="8"/>
        <v>0.56000000000000028</v>
      </c>
      <c r="B58">
        <f t="shared" si="0"/>
        <v>28.148670176164561</v>
      </c>
      <c r="C58">
        <f t="shared" si="1"/>
        <v>0.31333308391072628</v>
      </c>
      <c r="D58">
        <f t="shared" si="2"/>
        <v>1.1200000000000006</v>
      </c>
      <c r="E58">
        <f t="shared" si="3"/>
        <v>56.297340352329122</v>
      </c>
      <c r="F58">
        <f t="shared" si="4"/>
        <v>-0.62172471791207007</v>
      </c>
      <c r="G58">
        <f t="shared" si="5"/>
        <v>0.18666666666666676</v>
      </c>
      <c r="H58">
        <f t="shared" si="6"/>
        <v>9.3828900587215198</v>
      </c>
      <c r="I58">
        <f t="shared" si="7"/>
        <v>0.10468913432298904</v>
      </c>
    </row>
    <row r="59" spans="1:9" x14ac:dyDescent="0.3">
      <c r="A59">
        <f t="shared" si="8"/>
        <v>0.57000000000000028</v>
      </c>
      <c r="B59">
        <f t="shared" si="0"/>
        <v>28.651325000738929</v>
      </c>
      <c r="C59">
        <f t="shared" si="1"/>
        <v>-0.92031138171172866</v>
      </c>
      <c r="D59">
        <f t="shared" si="2"/>
        <v>1.1400000000000006</v>
      </c>
      <c r="E59">
        <f t="shared" si="3"/>
        <v>57.302650001477858</v>
      </c>
      <c r="F59">
        <f t="shared" si="4"/>
        <v>1.7113677648217744</v>
      </c>
      <c r="G59">
        <f t="shared" si="5"/>
        <v>0.19000000000000009</v>
      </c>
      <c r="H59">
        <f t="shared" si="6"/>
        <v>9.5504416669129757</v>
      </c>
      <c r="I59">
        <f t="shared" si="7"/>
        <v>-0.31333308391077114</v>
      </c>
    </row>
    <row r="60" spans="1:9" x14ac:dyDescent="0.3">
      <c r="A60">
        <f t="shared" si="8"/>
        <v>0.58000000000000029</v>
      </c>
      <c r="B60">
        <f t="shared" si="0"/>
        <v>29.153979825313296</v>
      </c>
      <c r="C60">
        <f t="shared" si="1"/>
        <v>-1.9262831069394972</v>
      </c>
      <c r="D60">
        <f t="shared" si="2"/>
        <v>1.1600000000000006</v>
      </c>
      <c r="E60">
        <f t="shared" si="3"/>
        <v>58.307959650626593</v>
      </c>
      <c r="F60">
        <f t="shared" si="4"/>
        <v>2.4557181268217074</v>
      </c>
      <c r="G60">
        <f t="shared" si="5"/>
        <v>0.19333333333333344</v>
      </c>
      <c r="H60">
        <f t="shared" si="6"/>
        <v>9.7179932751044316</v>
      </c>
      <c r="I60">
        <f t="shared" si="7"/>
        <v>-0.72257949236118968</v>
      </c>
    </row>
    <row r="61" spans="1:9" x14ac:dyDescent="0.3">
      <c r="A61">
        <f t="shared" si="8"/>
        <v>0.5900000000000003</v>
      </c>
      <c r="B61">
        <f t="shared" si="0"/>
        <v>29.656634649887661</v>
      </c>
      <c r="C61">
        <f t="shared" si="1"/>
        <v>-2.4557181268217274</v>
      </c>
      <c r="D61">
        <f t="shared" si="2"/>
        <v>1.1800000000000006</v>
      </c>
      <c r="E61">
        <f t="shared" si="3"/>
        <v>59.313269299775321</v>
      </c>
      <c r="F61">
        <f t="shared" si="4"/>
        <v>0.92031138171163751</v>
      </c>
      <c r="G61">
        <f t="shared" si="5"/>
        <v>0.19666666666666677</v>
      </c>
      <c r="H61">
        <f t="shared" si="6"/>
        <v>9.8855448832958874</v>
      </c>
      <c r="I61">
        <f t="shared" si="7"/>
        <v>-1.1115879479623292</v>
      </c>
    </row>
    <row r="62" spans="1:9" x14ac:dyDescent="0.3">
      <c r="A62">
        <f t="shared" si="8"/>
        <v>0.60000000000000031</v>
      </c>
      <c r="B62">
        <f t="shared" si="0"/>
        <v>30.159289474462028</v>
      </c>
      <c r="C62">
        <f t="shared" si="1"/>
        <v>-2.3776412907378739</v>
      </c>
      <c r="D62">
        <f t="shared" si="2"/>
        <v>1.2000000000000006</v>
      </c>
      <c r="E62">
        <f t="shared" si="3"/>
        <v>60.318578948924056</v>
      </c>
      <c r="F62">
        <f t="shared" si="4"/>
        <v>-1.4694631307312356</v>
      </c>
      <c r="G62">
        <f t="shared" si="5"/>
        <v>0.20000000000000009</v>
      </c>
      <c r="H62">
        <f t="shared" si="6"/>
        <v>10.053096491487343</v>
      </c>
      <c r="I62">
        <f t="shared" si="7"/>
        <v>-1.4694631307311927</v>
      </c>
    </row>
    <row r="63" spans="1:9" x14ac:dyDescent="0.3">
      <c r="A63">
        <f t="shared" si="8"/>
        <v>0.61000000000000032</v>
      </c>
      <c r="B63">
        <f t="shared" si="0"/>
        <v>30.661944299036396</v>
      </c>
      <c r="C63">
        <f t="shared" si="1"/>
        <v>-1.7113677648216965</v>
      </c>
      <c r="D63">
        <f t="shared" si="2"/>
        <v>1.2200000000000006</v>
      </c>
      <c r="E63">
        <f t="shared" si="3"/>
        <v>61.323888598072791</v>
      </c>
      <c r="F63">
        <f t="shared" si="4"/>
        <v>-2.4950668210706746</v>
      </c>
      <c r="G63">
        <f t="shared" si="5"/>
        <v>0.20333333333333345</v>
      </c>
      <c r="H63">
        <f t="shared" si="6"/>
        <v>10.220648099678799</v>
      </c>
      <c r="I63">
        <f t="shared" si="7"/>
        <v>-1.7861816990820176</v>
      </c>
    </row>
    <row r="64" spans="1:9" x14ac:dyDescent="0.3">
      <c r="A64">
        <f t="shared" si="8"/>
        <v>0.62000000000000033</v>
      </c>
      <c r="B64">
        <f t="shared" si="0"/>
        <v>31.164599123610763</v>
      </c>
      <c r="C64">
        <f t="shared" si="1"/>
        <v>-0.62172471791210204</v>
      </c>
      <c r="D64">
        <f t="shared" si="2"/>
        <v>1.2400000000000007</v>
      </c>
      <c r="E64">
        <f t="shared" si="3"/>
        <v>62.329198247221527</v>
      </c>
      <c r="F64">
        <f t="shared" si="4"/>
        <v>-1.204384185254225</v>
      </c>
      <c r="G64">
        <f t="shared" si="5"/>
        <v>0.20666666666666678</v>
      </c>
      <c r="H64">
        <f t="shared" si="6"/>
        <v>10.388199707870255</v>
      </c>
      <c r="I64">
        <f t="shared" si="7"/>
        <v>-2.0528730228342678</v>
      </c>
    </row>
    <row r="65" spans="1:9" x14ac:dyDescent="0.3">
      <c r="A65">
        <f t="shared" si="8"/>
        <v>0.63000000000000034</v>
      </c>
      <c r="B65">
        <f t="shared" si="0"/>
        <v>31.667253948185131</v>
      </c>
      <c r="C65">
        <f t="shared" si="1"/>
        <v>0.62172471791217354</v>
      </c>
      <c r="D65">
        <f t="shared" si="2"/>
        <v>1.2600000000000007</v>
      </c>
      <c r="E65">
        <f t="shared" si="3"/>
        <v>63.334507896370262</v>
      </c>
      <c r="F65">
        <f t="shared" si="4"/>
        <v>1.2043841852543544</v>
      </c>
      <c r="G65">
        <f t="shared" si="5"/>
        <v>0.2100000000000001</v>
      </c>
      <c r="H65">
        <f t="shared" si="6"/>
        <v>10.555751316061711</v>
      </c>
      <c r="I65">
        <f t="shared" si="7"/>
        <v>-2.2620676311650549</v>
      </c>
    </row>
    <row r="66" spans="1:9" x14ac:dyDescent="0.3">
      <c r="A66">
        <f t="shared" si="8"/>
        <v>0.64000000000000035</v>
      </c>
      <c r="B66">
        <f t="shared" si="0"/>
        <v>32.169908772759499</v>
      </c>
      <c r="C66">
        <f t="shared" si="1"/>
        <v>1.7113677648217505</v>
      </c>
      <c r="D66">
        <f t="shared" si="2"/>
        <v>1.2800000000000007</v>
      </c>
      <c r="E66">
        <f t="shared" si="3"/>
        <v>64.339817545518997</v>
      </c>
      <c r="F66">
        <f t="shared" si="4"/>
        <v>2.4950668210706839</v>
      </c>
      <c r="G66">
        <f t="shared" si="5"/>
        <v>0.21333333333333346</v>
      </c>
      <c r="H66">
        <f t="shared" si="6"/>
        <v>10.723302924253167</v>
      </c>
      <c r="I66">
        <f t="shared" si="7"/>
        <v>-2.4079064169941495</v>
      </c>
    </row>
    <row r="67" spans="1:9" x14ac:dyDescent="0.3">
      <c r="A67">
        <f t="shared" si="8"/>
        <v>0.65000000000000036</v>
      </c>
      <c r="B67">
        <f t="shared" ref="B67:B102" si="9">2*PI()*8*A67</f>
        <v>32.67256359733387</v>
      </c>
      <c r="C67">
        <f t="shared" ref="C67:C102" si="10">2.5*SIN(B67)</f>
        <v>2.3776412907378992</v>
      </c>
      <c r="D67">
        <f t="shared" ref="D67:D102" si="11">2*A67</f>
        <v>1.3000000000000007</v>
      </c>
      <c r="E67">
        <f t="shared" ref="E67:E102" si="12">2*PI()*8*D67</f>
        <v>65.345127194667739</v>
      </c>
      <c r="F67">
        <f t="shared" ref="F67:F102" si="13">2.5*SIN(E67)</f>
        <v>1.4694631307311017</v>
      </c>
      <c r="G67">
        <f t="shared" ref="G67:G102" si="14">A67/3</f>
        <v>0.21666666666666679</v>
      </c>
      <c r="H67">
        <f t="shared" ref="H67:H102" si="15">2*PI()*8*G67</f>
        <v>10.890854532444623</v>
      </c>
      <c r="I67">
        <f t="shared" ref="I67:I102" si="16">2.5*SIN(H67)</f>
        <v>-2.4863047384206851</v>
      </c>
    </row>
    <row r="68" spans="1:9" x14ac:dyDescent="0.3">
      <c r="A68">
        <f t="shared" ref="A68:A102" si="17">A67+0.01</f>
        <v>0.66000000000000036</v>
      </c>
      <c r="B68">
        <f t="shared" si="9"/>
        <v>33.175218421908234</v>
      </c>
      <c r="C68">
        <f t="shared" si="10"/>
        <v>2.4557181268217136</v>
      </c>
      <c r="D68">
        <f t="shared" si="11"/>
        <v>1.3200000000000007</v>
      </c>
      <c r="E68">
        <f t="shared" si="12"/>
        <v>66.350436843816468</v>
      </c>
      <c r="F68">
        <f t="shared" si="13"/>
        <v>-0.92031138171177473</v>
      </c>
      <c r="G68">
        <f t="shared" si="14"/>
        <v>0.22000000000000011</v>
      </c>
      <c r="H68">
        <f t="shared" si="15"/>
        <v>11.058406140636077</v>
      </c>
      <c r="I68">
        <f t="shared" si="16"/>
        <v>-2.4950668210706781</v>
      </c>
    </row>
    <row r="69" spans="1:9" x14ac:dyDescent="0.3">
      <c r="A69">
        <f t="shared" si="17"/>
        <v>0.67000000000000037</v>
      </c>
      <c r="B69">
        <f t="shared" si="9"/>
        <v>33.677873246482598</v>
      </c>
      <c r="C69">
        <f t="shared" si="10"/>
        <v>1.9262831069394504</v>
      </c>
      <c r="D69">
        <f t="shared" si="11"/>
        <v>1.3400000000000007</v>
      </c>
      <c r="E69">
        <f t="shared" si="12"/>
        <v>67.355746492965196</v>
      </c>
      <c r="F69">
        <f t="shared" si="13"/>
        <v>-2.455718126821735</v>
      </c>
      <c r="G69">
        <f t="shared" si="14"/>
        <v>0.22333333333333347</v>
      </c>
      <c r="H69">
        <f t="shared" si="15"/>
        <v>11.225957748827534</v>
      </c>
      <c r="I69">
        <f t="shared" si="16"/>
        <v>-2.4339472571828971</v>
      </c>
    </row>
    <row r="70" spans="1:9" x14ac:dyDescent="0.3">
      <c r="A70">
        <f t="shared" si="17"/>
        <v>0.68000000000000038</v>
      </c>
      <c r="B70">
        <f t="shared" si="9"/>
        <v>34.180528071056969</v>
      </c>
      <c r="C70">
        <f t="shared" si="10"/>
        <v>0.92031138171165172</v>
      </c>
      <c r="D70">
        <f t="shared" si="11"/>
        <v>1.3600000000000008</v>
      </c>
      <c r="E70">
        <f t="shared" si="12"/>
        <v>68.361056142113938</v>
      </c>
      <c r="F70">
        <f t="shared" si="13"/>
        <v>-1.7113677648216541</v>
      </c>
      <c r="G70">
        <f t="shared" si="14"/>
        <v>0.22666666666666679</v>
      </c>
      <c r="H70">
        <f t="shared" si="15"/>
        <v>11.39350935701899</v>
      </c>
      <c r="I70">
        <f t="shared" si="16"/>
        <v>-2.3046578789712449</v>
      </c>
    </row>
    <row r="71" spans="1:9" x14ac:dyDescent="0.3">
      <c r="A71">
        <f t="shared" si="17"/>
        <v>0.69000000000000039</v>
      </c>
      <c r="B71">
        <f t="shared" si="9"/>
        <v>34.683182895631333</v>
      </c>
      <c r="C71">
        <f t="shared" si="10"/>
        <v>-0.31333308391079956</v>
      </c>
      <c r="D71">
        <f t="shared" si="11"/>
        <v>1.3800000000000008</v>
      </c>
      <c r="E71">
        <f t="shared" si="12"/>
        <v>69.366365791262666</v>
      </c>
      <c r="F71">
        <f t="shared" si="13"/>
        <v>0.62172471791221307</v>
      </c>
      <c r="G71">
        <f t="shared" si="14"/>
        <v>0.23000000000000012</v>
      </c>
      <c r="H71">
        <f t="shared" si="15"/>
        <v>11.561060965210444</v>
      </c>
      <c r="I71">
        <f t="shared" si="16"/>
        <v>-2.1108198137550307</v>
      </c>
    </row>
    <row r="72" spans="1:9" x14ac:dyDescent="0.3">
      <c r="A72">
        <f t="shared" si="17"/>
        <v>0.7000000000000004</v>
      </c>
      <c r="B72">
        <f t="shared" si="9"/>
        <v>35.185837720205704</v>
      </c>
      <c r="C72">
        <f t="shared" si="10"/>
        <v>-1.4694631307312231</v>
      </c>
      <c r="D72">
        <f t="shared" si="11"/>
        <v>1.4000000000000008</v>
      </c>
      <c r="E72">
        <f t="shared" si="12"/>
        <v>70.371675440411408</v>
      </c>
      <c r="F72">
        <f t="shared" si="13"/>
        <v>2.3776412907379147</v>
      </c>
      <c r="G72">
        <f t="shared" si="14"/>
        <v>0.23333333333333348</v>
      </c>
      <c r="H72">
        <f t="shared" si="15"/>
        <v>11.728612573401902</v>
      </c>
      <c r="I72">
        <f t="shared" si="16"/>
        <v>-1.8578620636934735</v>
      </c>
    </row>
    <row r="73" spans="1:9" x14ac:dyDescent="0.3">
      <c r="A73">
        <f t="shared" si="17"/>
        <v>0.71000000000000041</v>
      </c>
      <c r="B73">
        <f t="shared" si="9"/>
        <v>35.688492544780068</v>
      </c>
      <c r="C73">
        <f t="shared" si="10"/>
        <v>-2.2620676311650669</v>
      </c>
      <c r="D73">
        <f t="shared" si="11"/>
        <v>1.4200000000000008</v>
      </c>
      <c r="E73">
        <f t="shared" si="12"/>
        <v>71.376985089560137</v>
      </c>
      <c r="F73">
        <f t="shared" si="13"/>
        <v>1.9262831069394188</v>
      </c>
      <c r="G73">
        <f t="shared" si="14"/>
        <v>0.2366666666666668</v>
      </c>
      <c r="H73">
        <f t="shared" si="15"/>
        <v>11.896164181593356</v>
      </c>
      <c r="I73">
        <f t="shared" si="16"/>
        <v>-1.5528694506957645</v>
      </c>
    </row>
    <row r="74" spans="1:9" x14ac:dyDescent="0.3">
      <c r="A74">
        <f t="shared" si="17"/>
        <v>0.72000000000000042</v>
      </c>
      <c r="B74">
        <f t="shared" si="9"/>
        <v>36.191147369354439</v>
      </c>
      <c r="C74">
        <f t="shared" si="10"/>
        <v>-2.4950668210706755</v>
      </c>
      <c r="D74">
        <f t="shared" si="11"/>
        <v>1.4400000000000008</v>
      </c>
      <c r="E74">
        <f t="shared" si="12"/>
        <v>72.382294738708879</v>
      </c>
      <c r="F74">
        <f t="shared" si="13"/>
        <v>-0.31333308391086639</v>
      </c>
      <c r="G74">
        <f t="shared" si="14"/>
        <v>0.24000000000000013</v>
      </c>
      <c r="H74">
        <f t="shared" si="15"/>
        <v>12.063715789784812</v>
      </c>
      <c r="I74">
        <f t="shared" si="16"/>
        <v>-1.2043841852542752</v>
      </c>
    </row>
    <row r="75" spans="1:9" x14ac:dyDescent="0.3">
      <c r="A75">
        <f t="shared" si="17"/>
        <v>0.73000000000000043</v>
      </c>
      <c r="B75">
        <f t="shared" si="9"/>
        <v>36.693802193928803</v>
      </c>
      <c r="C75">
        <f t="shared" si="10"/>
        <v>-2.1108198137550129</v>
      </c>
      <c r="D75">
        <f t="shared" si="11"/>
        <v>1.4600000000000009</v>
      </c>
      <c r="E75">
        <f t="shared" si="12"/>
        <v>73.387604387857607</v>
      </c>
      <c r="F75">
        <f t="shared" si="13"/>
        <v>-2.2620676311650882</v>
      </c>
      <c r="G75">
        <f t="shared" si="14"/>
        <v>0.24333333333333348</v>
      </c>
      <c r="H75">
        <f t="shared" si="15"/>
        <v>12.23126739797627</v>
      </c>
      <c r="I75">
        <f t="shared" si="16"/>
        <v>-0.82216661684643932</v>
      </c>
    </row>
    <row r="76" spans="1:9" x14ac:dyDescent="0.3">
      <c r="A76">
        <f t="shared" si="17"/>
        <v>0.74000000000000044</v>
      </c>
      <c r="B76">
        <f t="shared" si="9"/>
        <v>37.196457018503175</v>
      </c>
      <c r="C76">
        <f t="shared" si="10"/>
        <v>-1.2043841852542385</v>
      </c>
      <c r="D76">
        <f t="shared" si="11"/>
        <v>1.4800000000000009</v>
      </c>
      <c r="E76">
        <f t="shared" si="12"/>
        <v>74.392914037006349</v>
      </c>
      <c r="F76">
        <f t="shared" si="13"/>
        <v>-2.110819813754977</v>
      </c>
      <c r="G76">
        <f t="shared" si="14"/>
        <v>0.24666666666666681</v>
      </c>
      <c r="H76">
        <f t="shared" si="15"/>
        <v>12.398819006167724</v>
      </c>
      <c r="I76">
        <f t="shared" si="16"/>
        <v>-0.41692186679023996</v>
      </c>
    </row>
    <row r="77" spans="1:9" x14ac:dyDescent="0.3">
      <c r="A77">
        <f t="shared" si="17"/>
        <v>0.75000000000000044</v>
      </c>
      <c r="B77">
        <f t="shared" si="9"/>
        <v>37.699111843077539</v>
      </c>
      <c r="C77">
        <f t="shared" si="10"/>
        <v>4.9615259817281654E-14</v>
      </c>
      <c r="D77">
        <f t="shared" si="11"/>
        <v>1.5000000000000009</v>
      </c>
      <c r="E77">
        <f t="shared" si="12"/>
        <v>75.398223686155077</v>
      </c>
      <c r="F77">
        <f t="shared" si="13"/>
        <v>9.9230519634563308E-14</v>
      </c>
      <c r="G77">
        <f t="shared" si="14"/>
        <v>0.25000000000000017</v>
      </c>
      <c r="H77">
        <f t="shared" si="15"/>
        <v>12.566370614359181</v>
      </c>
      <c r="I77">
        <f t="shared" si="16"/>
        <v>2.0979312037594511E-14</v>
      </c>
    </row>
    <row r="78" spans="1:9" x14ac:dyDescent="0.3">
      <c r="A78">
        <f t="shared" si="17"/>
        <v>0.76000000000000045</v>
      </c>
      <c r="B78">
        <f t="shared" si="9"/>
        <v>38.20176666765191</v>
      </c>
      <c r="C78">
        <f t="shared" si="10"/>
        <v>1.2043841852543409</v>
      </c>
      <c r="D78">
        <f t="shared" si="11"/>
        <v>1.5200000000000009</v>
      </c>
      <c r="E78">
        <f t="shared" si="12"/>
        <v>76.40353333530382</v>
      </c>
      <c r="F78">
        <f t="shared" si="13"/>
        <v>2.1108198137551022</v>
      </c>
      <c r="G78">
        <f t="shared" si="14"/>
        <v>0.25333333333333347</v>
      </c>
      <c r="H78">
        <f t="shared" si="15"/>
        <v>12.733922222550635</v>
      </c>
      <c r="I78">
        <f t="shared" si="16"/>
        <v>0.41692186679027254</v>
      </c>
    </row>
    <row r="79" spans="1:9" x14ac:dyDescent="0.3">
      <c r="A79">
        <f t="shared" si="17"/>
        <v>0.77000000000000046</v>
      </c>
      <c r="B79">
        <f t="shared" si="9"/>
        <v>38.704421492226274</v>
      </c>
      <c r="C79">
        <f t="shared" si="10"/>
        <v>2.1108198137550662</v>
      </c>
      <c r="D79">
        <f t="shared" si="11"/>
        <v>1.5400000000000009</v>
      </c>
      <c r="E79">
        <f t="shared" si="12"/>
        <v>77.408842984452548</v>
      </c>
      <c r="F79">
        <f t="shared" si="13"/>
        <v>2.2620676311650039</v>
      </c>
      <c r="G79">
        <f t="shared" si="14"/>
        <v>0.25666666666666682</v>
      </c>
      <c r="H79">
        <f t="shared" si="15"/>
        <v>12.901473830742091</v>
      </c>
      <c r="I79">
        <f t="shared" si="16"/>
        <v>0.82216661684647485</v>
      </c>
    </row>
    <row r="80" spans="1:9" x14ac:dyDescent="0.3">
      <c r="A80">
        <f t="shared" si="17"/>
        <v>0.78000000000000047</v>
      </c>
      <c r="B80">
        <f t="shared" si="9"/>
        <v>39.207076316800645</v>
      </c>
      <c r="C80">
        <f t="shared" si="10"/>
        <v>2.495066821070683</v>
      </c>
      <c r="D80">
        <f t="shared" si="11"/>
        <v>1.5600000000000009</v>
      </c>
      <c r="E80">
        <f t="shared" si="12"/>
        <v>78.41415263360129</v>
      </c>
      <c r="F80">
        <f t="shared" si="13"/>
        <v>0.3133330839106343</v>
      </c>
      <c r="G80">
        <f t="shared" si="14"/>
        <v>0.26000000000000018</v>
      </c>
      <c r="H80">
        <f t="shared" si="15"/>
        <v>13.069025438933549</v>
      </c>
      <c r="I80">
        <f t="shared" si="16"/>
        <v>1.2043841852543082</v>
      </c>
    </row>
    <row r="81" spans="1:9" x14ac:dyDescent="0.3">
      <c r="A81">
        <f t="shared" si="17"/>
        <v>0.79000000000000048</v>
      </c>
      <c r="B81">
        <f t="shared" si="9"/>
        <v>39.709731141375009</v>
      </c>
      <c r="C81">
        <f t="shared" si="10"/>
        <v>2.2620676311650247</v>
      </c>
      <c r="D81">
        <f t="shared" si="11"/>
        <v>1.580000000000001</v>
      </c>
      <c r="E81">
        <f t="shared" si="12"/>
        <v>79.419462282750018</v>
      </c>
      <c r="F81">
        <f t="shared" si="13"/>
        <v>-1.926283106939545</v>
      </c>
      <c r="G81">
        <f t="shared" si="14"/>
        <v>0.26333333333333347</v>
      </c>
      <c r="H81">
        <f t="shared" si="15"/>
        <v>13.236577047125001</v>
      </c>
      <c r="I81">
        <f t="shared" si="16"/>
        <v>1.5528694506957872</v>
      </c>
    </row>
    <row r="82" spans="1:9" x14ac:dyDescent="0.3">
      <c r="A82">
        <f t="shared" si="17"/>
        <v>0.80000000000000049</v>
      </c>
      <c r="B82">
        <f t="shared" si="9"/>
        <v>40.212385965949373</v>
      </c>
      <c r="C82">
        <f t="shared" si="10"/>
        <v>1.469463130731143</v>
      </c>
      <c r="D82">
        <f t="shared" si="11"/>
        <v>1.600000000000001</v>
      </c>
      <c r="E82">
        <f t="shared" si="12"/>
        <v>80.424771931898746</v>
      </c>
      <c r="F82">
        <f t="shared" si="13"/>
        <v>-2.3776412907378535</v>
      </c>
      <c r="G82">
        <f t="shared" si="14"/>
        <v>0.26666666666666683</v>
      </c>
      <c r="H82">
        <f t="shared" si="15"/>
        <v>13.404128655316459</v>
      </c>
      <c r="I82">
        <f t="shared" si="16"/>
        <v>1.8578620636934986</v>
      </c>
    </row>
    <row r="83" spans="1:9" x14ac:dyDescent="0.3">
      <c r="A83">
        <f t="shared" si="17"/>
        <v>0.8100000000000005</v>
      </c>
      <c r="B83">
        <f t="shared" si="9"/>
        <v>40.715040790523744</v>
      </c>
      <c r="C83">
        <f t="shared" si="10"/>
        <v>0.31333308391070114</v>
      </c>
      <c r="D83">
        <f t="shared" si="11"/>
        <v>1.620000000000001</v>
      </c>
      <c r="E83">
        <f t="shared" si="12"/>
        <v>81.430081581047489</v>
      </c>
      <c r="F83">
        <f t="shared" si="13"/>
        <v>-0.62172471791202077</v>
      </c>
      <c r="G83">
        <f t="shared" si="14"/>
        <v>0.27000000000000018</v>
      </c>
      <c r="H83">
        <f t="shared" si="15"/>
        <v>13.571680263507915</v>
      </c>
      <c r="I83">
        <f t="shared" si="16"/>
        <v>2.1108198137550485</v>
      </c>
    </row>
    <row r="84" spans="1:9" x14ac:dyDescent="0.3">
      <c r="A84">
        <f t="shared" si="17"/>
        <v>0.82000000000000051</v>
      </c>
      <c r="B84">
        <f t="shared" si="9"/>
        <v>41.217695615098108</v>
      </c>
      <c r="C84">
        <f t="shared" si="10"/>
        <v>-0.92031138171174409</v>
      </c>
      <c r="D84">
        <f t="shared" si="11"/>
        <v>1.640000000000001</v>
      </c>
      <c r="E84">
        <f t="shared" si="12"/>
        <v>82.435391230196217</v>
      </c>
      <c r="F84">
        <f t="shared" si="13"/>
        <v>1.7113677648217986</v>
      </c>
      <c r="G84">
        <f t="shared" si="14"/>
        <v>0.27333333333333348</v>
      </c>
      <c r="H84">
        <f t="shared" si="15"/>
        <v>13.739231871699369</v>
      </c>
      <c r="I84">
        <f t="shared" si="16"/>
        <v>2.3046578789712577</v>
      </c>
    </row>
    <row r="85" spans="1:9" x14ac:dyDescent="0.3">
      <c r="A85">
        <f t="shared" si="17"/>
        <v>0.83000000000000052</v>
      </c>
      <c r="B85">
        <f t="shared" si="9"/>
        <v>41.72035043967248</v>
      </c>
      <c r="C85">
        <f t="shared" si="10"/>
        <v>-1.9262831069395134</v>
      </c>
      <c r="D85">
        <f t="shared" si="11"/>
        <v>1.660000000000001</v>
      </c>
      <c r="E85">
        <f t="shared" si="12"/>
        <v>83.440700879344959</v>
      </c>
      <c r="F85">
        <f t="shared" si="13"/>
        <v>2.4557181268216981</v>
      </c>
      <c r="G85">
        <f t="shared" si="14"/>
        <v>0.27666666666666684</v>
      </c>
      <c r="H85">
        <f t="shared" si="15"/>
        <v>13.906783479890827</v>
      </c>
      <c r="I85">
        <f t="shared" si="16"/>
        <v>2.4339472571829055</v>
      </c>
    </row>
    <row r="86" spans="1:9" x14ac:dyDescent="0.3">
      <c r="A86">
        <f t="shared" si="17"/>
        <v>0.84000000000000052</v>
      </c>
      <c r="B86">
        <f t="shared" si="9"/>
        <v>42.223005264246844</v>
      </c>
      <c r="C86">
        <f t="shared" si="10"/>
        <v>-2.4557181268217323</v>
      </c>
      <c r="D86">
        <f t="shared" si="11"/>
        <v>1.680000000000001</v>
      </c>
      <c r="E86">
        <f t="shared" si="12"/>
        <v>84.446010528493687</v>
      </c>
      <c r="F86">
        <f t="shared" si="13"/>
        <v>0.92031138171159033</v>
      </c>
      <c r="G86">
        <f t="shared" si="14"/>
        <v>0.28000000000000019</v>
      </c>
      <c r="H86">
        <f t="shared" si="15"/>
        <v>14.074335088082282</v>
      </c>
      <c r="I86">
        <f t="shared" si="16"/>
        <v>2.4950668210706803</v>
      </c>
    </row>
    <row r="87" spans="1:9" x14ac:dyDescent="0.3">
      <c r="A87">
        <f t="shared" si="17"/>
        <v>0.85000000000000053</v>
      </c>
      <c r="B87">
        <f t="shared" si="9"/>
        <v>42.725660088821215</v>
      </c>
      <c r="C87">
        <f t="shared" si="10"/>
        <v>-2.3776412907378632</v>
      </c>
      <c r="D87">
        <f t="shared" si="11"/>
        <v>1.7000000000000011</v>
      </c>
      <c r="E87">
        <f t="shared" si="12"/>
        <v>85.45132017764243</v>
      </c>
      <c r="F87">
        <f t="shared" si="13"/>
        <v>-1.4694631307312911</v>
      </c>
      <c r="G87">
        <f t="shared" si="14"/>
        <v>0.28333333333333349</v>
      </c>
      <c r="H87">
        <f t="shared" si="15"/>
        <v>14.241886696273736</v>
      </c>
      <c r="I87">
        <f t="shared" si="16"/>
        <v>2.4863047384206816</v>
      </c>
    </row>
    <row r="88" spans="1:9" x14ac:dyDescent="0.3">
      <c r="A88">
        <f t="shared" si="17"/>
        <v>0.86000000000000054</v>
      </c>
      <c r="B88">
        <f t="shared" si="9"/>
        <v>43.228314913395579</v>
      </c>
      <c r="C88">
        <f t="shared" si="10"/>
        <v>-1.7113677648216783</v>
      </c>
      <c r="D88">
        <f t="shared" si="11"/>
        <v>1.7200000000000011</v>
      </c>
      <c r="E88">
        <f t="shared" si="12"/>
        <v>86.456629826791158</v>
      </c>
      <c r="F88">
        <f t="shared" si="13"/>
        <v>-2.4950668210706715</v>
      </c>
      <c r="G88">
        <f t="shared" si="14"/>
        <v>0.28666666666666685</v>
      </c>
      <c r="H88">
        <f t="shared" si="15"/>
        <v>14.409438304465194</v>
      </c>
      <c r="I88">
        <f t="shared" si="16"/>
        <v>2.4079064169941393</v>
      </c>
    </row>
    <row r="89" spans="1:9" x14ac:dyDescent="0.3">
      <c r="A89">
        <f t="shared" si="17"/>
        <v>0.87000000000000055</v>
      </c>
      <c r="B89">
        <f t="shared" si="9"/>
        <v>43.73096973796995</v>
      </c>
      <c r="C89">
        <f t="shared" si="10"/>
        <v>-0.62172471791206885</v>
      </c>
      <c r="D89">
        <f t="shared" si="11"/>
        <v>1.7400000000000011</v>
      </c>
      <c r="E89">
        <f t="shared" si="12"/>
        <v>87.4619394759399</v>
      </c>
      <c r="F89">
        <f t="shared" si="13"/>
        <v>-1.204384185254165</v>
      </c>
      <c r="G89">
        <f t="shared" si="14"/>
        <v>0.2900000000000002</v>
      </c>
      <c r="H89">
        <f t="shared" si="15"/>
        <v>14.57698991265665</v>
      </c>
      <c r="I89">
        <f t="shared" si="16"/>
        <v>2.262067631165039</v>
      </c>
    </row>
    <row r="90" spans="1:9" x14ac:dyDescent="0.3">
      <c r="A90">
        <f t="shared" si="17"/>
        <v>0.88000000000000056</v>
      </c>
      <c r="B90">
        <f t="shared" si="9"/>
        <v>44.233624562544314</v>
      </c>
      <c r="C90">
        <f t="shared" si="10"/>
        <v>0.62172471791219819</v>
      </c>
      <c r="D90">
        <f t="shared" si="11"/>
        <v>1.7600000000000011</v>
      </c>
      <c r="E90">
        <f t="shared" si="12"/>
        <v>88.467249125088628</v>
      </c>
      <c r="F90">
        <f t="shared" si="13"/>
        <v>1.2043841852543988</v>
      </c>
      <c r="G90">
        <f t="shared" si="14"/>
        <v>0.2933333333333335</v>
      </c>
      <c r="H90">
        <f t="shared" si="15"/>
        <v>14.744541520848104</v>
      </c>
      <c r="I90">
        <f t="shared" si="16"/>
        <v>2.0528730228342491</v>
      </c>
    </row>
    <row r="91" spans="1:9" x14ac:dyDescent="0.3">
      <c r="A91">
        <f t="shared" si="17"/>
        <v>0.89000000000000057</v>
      </c>
      <c r="B91">
        <f t="shared" si="9"/>
        <v>44.736279387118685</v>
      </c>
      <c r="C91">
        <f t="shared" si="10"/>
        <v>1.7113677648217753</v>
      </c>
      <c r="D91">
        <f t="shared" si="11"/>
        <v>1.7800000000000011</v>
      </c>
      <c r="E91">
        <f t="shared" si="12"/>
        <v>89.47255877423737</v>
      </c>
      <c r="F91">
        <f t="shared" si="13"/>
        <v>2.4950668210706879</v>
      </c>
      <c r="G91">
        <f t="shared" si="14"/>
        <v>0.29666666666666686</v>
      </c>
      <c r="H91">
        <f t="shared" si="15"/>
        <v>14.91209312903956</v>
      </c>
      <c r="I91">
        <f t="shared" si="16"/>
        <v>1.7861816990819943</v>
      </c>
    </row>
    <row r="92" spans="1:9" x14ac:dyDescent="0.3">
      <c r="A92">
        <f t="shared" si="17"/>
        <v>0.90000000000000058</v>
      </c>
      <c r="B92">
        <f t="shared" si="9"/>
        <v>45.238934211693049</v>
      </c>
      <c r="C92">
        <f t="shared" si="10"/>
        <v>2.3776412907379045</v>
      </c>
      <c r="D92">
        <f t="shared" si="11"/>
        <v>1.8000000000000012</v>
      </c>
      <c r="E92">
        <f t="shared" si="12"/>
        <v>90.477868423386099</v>
      </c>
      <c r="F92">
        <f t="shared" si="13"/>
        <v>1.4694631307310748</v>
      </c>
      <c r="G92">
        <f t="shared" si="14"/>
        <v>0.30000000000000021</v>
      </c>
      <c r="H92">
        <f t="shared" si="15"/>
        <v>15.079644737231018</v>
      </c>
      <c r="I92">
        <f t="shared" si="16"/>
        <v>1.4694631307311625</v>
      </c>
    </row>
    <row r="93" spans="1:9" x14ac:dyDescent="0.3">
      <c r="A93">
        <f t="shared" si="17"/>
        <v>0.91000000000000059</v>
      </c>
      <c r="B93">
        <f t="shared" si="9"/>
        <v>45.74158903626742</v>
      </c>
      <c r="C93">
        <f t="shared" si="10"/>
        <v>2.455718126821707</v>
      </c>
      <c r="D93">
        <f t="shared" si="11"/>
        <v>1.8200000000000012</v>
      </c>
      <c r="E93">
        <f t="shared" si="12"/>
        <v>91.483178072534841</v>
      </c>
      <c r="F93">
        <f t="shared" si="13"/>
        <v>-0.92031138171183857</v>
      </c>
      <c r="G93">
        <f t="shared" si="14"/>
        <v>0.30333333333333351</v>
      </c>
      <c r="H93">
        <f t="shared" si="15"/>
        <v>15.247196345422472</v>
      </c>
      <c r="I93">
        <f t="shared" si="16"/>
        <v>1.1115879479622996</v>
      </c>
    </row>
    <row r="94" spans="1:9" x14ac:dyDescent="0.3">
      <c r="A94">
        <f t="shared" si="17"/>
        <v>0.9200000000000006</v>
      </c>
      <c r="B94">
        <f t="shared" si="9"/>
        <v>46.244243860841785</v>
      </c>
      <c r="C94">
        <f t="shared" si="10"/>
        <v>1.9262831069394284</v>
      </c>
      <c r="D94">
        <f t="shared" si="11"/>
        <v>1.8400000000000012</v>
      </c>
      <c r="E94">
        <f t="shared" si="12"/>
        <v>92.488487721683569</v>
      </c>
      <c r="F94">
        <f t="shared" si="13"/>
        <v>-2.4557181268217478</v>
      </c>
      <c r="G94">
        <f t="shared" si="14"/>
        <v>0.30666666666666687</v>
      </c>
      <c r="H94">
        <f t="shared" si="15"/>
        <v>15.414747953613928</v>
      </c>
      <c r="I94">
        <f t="shared" si="16"/>
        <v>0.72257949236115815</v>
      </c>
    </row>
    <row r="95" spans="1:9" x14ac:dyDescent="0.3">
      <c r="A95">
        <f t="shared" si="17"/>
        <v>0.9300000000000006</v>
      </c>
      <c r="B95">
        <f t="shared" si="9"/>
        <v>46.746898685416149</v>
      </c>
      <c r="C95">
        <f t="shared" si="10"/>
        <v>0.9203113817116364</v>
      </c>
      <c r="D95">
        <f t="shared" si="11"/>
        <v>1.8600000000000012</v>
      </c>
      <c r="E95">
        <f t="shared" si="12"/>
        <v>93.493797370832297</v>
      </c>
      <c r="F95">
        <f t="shared" si="13"/>
        <v>-1.7113677648216299</v>
      </c>
      <c r="G95">
        <f t="shared" si="14"/>
        <v>0.31000000000000022</v>
      </c>
      <c r="H95">
        <f t="shared" si="15"/>
        <v>15.582299561805385</v>
      </c>
      <c r="I95">
        <f t="shared" si="16"/>
        <v>0.31333308391073394</v>
      </c>
    </row>
    <row r="96" spans="1:9" x14ac:dyDescent="0.3">
      <c r="A96">
        <f t="shared" si="17"/>
        <v>0.94000000000000061</v>
      </c>
      <c r="B96">
        <f t="shared" si="9"/>
        <v>47.24955350999052</v>
      </c>
      <c r="C96">
        <f t="shared" si="10"/>
        <v>-0.31333308391083359</v>
      </c>
      <c r="D96">
        <f t="shared" si="11"/>
        <v>1.8800000000000012</v>
      </c>
      <c r="E96">
        <f t="shared" si="12"/>
        <v>94.499107019981039</v>
      </c>
      <c r="F96">
        <f t="shared" si="13"/>
        <v>0.62172471791227946</v>
      </c>
      <c r="G96">
        <f t="shared" si="14"/>
        <v>0.31333333333333352</v>
      </c>
      <c r="H96">
        <f t="shared" si="15"/>
        <v>15.749851169996839</v>
      </c>
      <c r="I96">
        <f t="shared" si="16"/>
        <v>-0.1046891343230221</v>
      </c>
    </row>
    <row r="97" spans="1:9" x14ac:dyDescent="0.3">
      <c r="A97">
        <f t="shared" si="17"/>
        <v>0.95000000000000062</v>
      </c>
      <c r="B97">
        <f t="shared" si="9"/>
        <v>47.752208334564884</v>
      </c>
      <c r="C97">
        <f t="shared" si="10"/>
        <v>-1.4694631307312365</v>
      </c>
      <c r="D97">
        <f t="shared" si="11"/>
        <v>1.9000000000000012</v>
      </c>
      <c r="E97">
        <f t="shared" si="12"/>
        <v>95.504416669129768</v>
      </c>
      <c r="F97">
        <f t="shared" si="13"/>
        <v>2.377641290737925</v>
      </c>
      <c r="G97">
        <f t="shared" si="14"/>
        <v>0.31666666666666687</v>
      </c>
      <c r="H97">
        <f t="shared" si="15"/>
        <v>15.917402778188295</v>
      </c>
      <c r="I97">
        <f t="shared" si="16"/>
        <v>-0.51977922704442148</v>
      </c>
    </row>
    <row r="98" spans="1:9" x14ac:dyDescent="0.3">
      <c r="A98">
        <f t="shared" si="17"/>
        <v>0.96000000000000063</v>
      </c>
      <c r="B98">
        <f t="shared" si="9"/>
        <v>48.254863159139255</v>
      </c>
      <c r="C98">
        <f t="shared" si="10"/>
        <v>-2.2620676311650816</v>
      </c>
      <c r="D98">
        <f t="shared" si="11"/>
        <v>1.9200000000000013</v>
      </c>
      <c r="E98">
        <f t="shared" si="12"/>
        <v>96.50972631827851</v>
      </c>
      <c r="F98">
        <f t="shared" si="13"/>
        <v>1.9262831069393749</v>
      </c>
      <c r="G98">
        <f t="shared" si="14"/>
        <v>0.32000000000000023</v>
      </c>
      <c r="H98">
        <f t="shared" si="15"/>
        <v>16.084954386379753</v>
      </c>
      <c r="I98">
        <f t="shared" si="16"/>
        <v>-0.92031138171172155</v>
      </c>
    </row>
    <row r="99" spans="1:9" x14ac:dyDescent="0.3">
      <c r="A99">
        <f t="shared" si="17"/>
        <v>0.97000000000000064</v>
      </c>
      <c r="B99">
        <f t="shared" si="9"/>
        <v>48.757517983713619</v>
      </c>
      <c r="C99">
        <f t="shared" si="10"/>
        <v>-2.4950668210706746</v>
      </c>
      <c r="D99">
        <f t="shared" si="11"/>
        <v>1.9400000000000013</v>
      </c>
      <c r="E99">
        <f t="shared" si="12"/>
        <v>97.515035967427238</v>
      </c>
      <c r="F99">
        <f t="shared" si="13"/>
        <v>-0.3133330839108992</v>
      </c>
      <c r="G99">
        <f t="shared" si="14"/>
        <v>0.32333333333333353</v>
      </c>
      <c r="H99">
        <f t="shared" si="15"/>
        <v>16.252505994571205</v>
      </c>
      <c r="I99">
        <f t="shared" si="16"/>
        <v>-1.2950675234328428</v>
      </c>
    </row>
    <row r="100" spans="1:9" x14ac:dyDescent="0.3">
      <c r="A100">
        <f t="shared" si="17"/>
        <v>0.98000000000000065</v>
      </c>
      <c r="B100">
        <f t="shared" si="9"/>
        <v>49.26017280828799</v>
      </c>
      <c r="C100">
        <f t="shared" si="10"/>
        <v>-2.1108198137549947</v>
      </c>
      <c r="D100">
        <f t="shared" si="11"/>
        <v>1.9600000000000013</v>
      </c>
      <c r="E100">
        <f t="shared" si="12"/>
        <v>98.52034561657598</v>
      </c>
      <c r="F100">
        <f t="shared" si="13"/>
        <v>-2.2620676311651171</v>
      </c>
      <c r="G100">
        <f t="shared" si="14"/>
        <v>0.32666666666666688</v>
      </c>
      <c r="H100">
        <f t="shared" si="15"/>
        <v>16.420057602762665</v>
      </c>
      <c r="I100">
        <f t="shared" si="16"/>
        <v>-1.6335515099752862</v>
      </c>
    </row>
    <row r="101" spans="1:9" x14ac:dyDescent="0.3">
      <c r="A101">
        <f t="shared" si="17"/>
        <v>0.99000000000000066</v>
      </c>
      <c r="B101">
        <f t="shared" si="9"/>
        <v>49.762827632862354</v>
      </c>
      <c r="C101">
        <f t="shared" si="10"/>
        <v>-1.2043841852542239</v>
      </c>
      <c r="D101">
        <f t="shared" si="11"/>
        <v>1.9800000000000013</v>
      </c>
      <c r="E101">
        <f t="shared" si="12"/>
        <v>99.525655265724708</v>
      </c>
      <c r="F101">
        <f t="shared" si="13"/>
        <v>-2.1108198137549592</v>
      </c>
      <c r="G101">
        <f t="shared" si="14"/>
        <v>0.33000000000000024</v>
      </c>
      <c r="H101">
        <f t="shared" si="15"/>
        <v>16.58760921095412</v>
      </c>
      <c r="I101">
        <f t="shared" si="16"/>
        <v>-1.9262831069394926</v>
      </c>
    </row>
    <row r="102" spans="1:9" x14ac:dyDescent="0.3">
      <c r="A102">
        <f t="shared" si="17"/>
        <v>1.0000000000000007</v>
      </c>
      <c r="B102">
        <f t="shared" si="9"/>
        <v>50.265482457436725</v>
      </c>
      <c r="C102">
        <f t="shared" si="10"/>
        <v>8.3917248150378043E-14</v>
      </c>
      <c r="D102">
        <f t="shared" si="11"/>
        <v>2.0000000000000013</v>
      </c>
      <c r="E102">
        <f t="shared" si="12"/>
        <v>100.53096491487345</v>
      </c>
      <c r="F102">
        <f t="shared" si="13"/>
        <v>1.6783449630075609E-13</v>
      </c>
      <c r="G102">
        <f t="shared" si="14"/>
        <v>0.33333333333333354</v>
      </c>
      <c r="H102">
        <f t="shared" si="15"/>
        <v>16.755160819145573</v>
      </c>
      <c r="I102">
        <f t="shared" si="16"/>
        <v>-2.1650635094611075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Sub_SobreMuestero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Guevara</dc:creator>
  <cp:lastModifiedBy>Areli Alejandra Guevara Badillo</cp:lastModifiedBy>
  <dcterms:created xsi:type="dcterms:W3CDTF">2015-06-05T18:19:34Z</dcterms:created>
  <dcterms:modified xsi:type="dcterms:W3CDTF">2026-01-05T18:02:51Z</dcterms:modified>
</cp:coreProperties>
</file>