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2do Parcial/"/>
    </mc:Choice>
  </mc:AlternateContent>
  <xr:revisionPtr revIDLastSave="66" documentId="11_AD4D2F04E46CFB4ACB3E20E51517CCD0683EDF1F" xr6:coauthVersionLast="47" xr6:coauthVersionMax="47" xr10:uidLastSave="{6249630F-401A-4855-9006-910CF48CFF24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  <c r="G21" i="1"/>
  <c r="G22" i="1"/>
  <c r="G23" i="1"/>
  <c r="G25" i="1"/>
  <c r="G26" i="1"/>
  <c r="G33" i="1"/>
  <c r="G34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G24" i="1" s="1"/>
  <c r="F25" i="1"/>
  <c r="F26" i="1"/>
  <c r="F27" i="1"/>
  <c r="F28" i="1"/>
  <c r="F29" i="1"/>
  <c r="F30" i="1"/>
  <c r="F31" i="1"/>
  <c r="F32" i="1"/>
  <c r="F33" i="1"/>
  <c r="F34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E22" i="1"/>
  <c r="E23" i="1"/>
  <c r="E24" i="1"/>
  <c r="E25" i="1"/>
  <c r="E26" i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E34" i="1"/>
  <c r="E2" i="1"/>
</calcChain>
</file>

<file path=xl/sharedStrings.xml><?xml version="1.0" encoding="utf-8"?>
<sst xmlns="http://schemas.openxmlformats.org/spreadsheetml/2006/main" count="7" uniqueCount="7">
  <si>
    <t>k</t>
  </si>
  <si>
    <t>ReX</t>
  </si>
  <si>
    <t>ImX</t>
  </si>
  <si>
    <t>Re^2</t>
  </si>
  <si>
    <t>Im^2</t>
  </si>
  <si>
    <t>RAIZ(Re^2 + Im^2)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</si>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</sst>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4631214061706424E-2"/>
          <c:y val="0.14913550462404504"/>
          <c:w val="0.9002763186401429"/>
          <c:h val="0.75758637830102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RAIZ(Re^2 + Im^2)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Hoja1!$A$2:$A$34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xVal>
          <c:yVal>
            <c:numRef>
              <c:f>Hoja1!$G$2:$G$34</c:f>
              <c:numCache>
                <c:formatCode>General</c:formatCode>
                <c:ptCount val="33"/>
                <c:pt idx="0">
                  <c:v>10.816812167673039</c:v>
                </c:pt>
                <c:pt idx="1">
                  <c:v>12.749707221704737</c:v>
                </c:pt>
                <c:pt idx="2">
                  <c:v>26.99669599741393</c:v>
                </c:pt>
                <c:pt idx="3">
                  <c:v>21.793612817651059</c:v>
                </c:pt>
                <c:pt idx="4">
                  <c:v>46.311833558855326</c:v>
                </c:pt>
                <c:pt idx="5">
                  <c:v>43.024012782254502</c:v>
                </c:pt>
                <c:pt idx="6">
                  <c:v>6.2091589616050431</c:v>
                </c:pt>
                <c:pt idx="7">
                  <c:v>3.9516840508877444</c:v>
                </c:pt>
                <c:pt idx="8">
                  <c:v>3.0876936032995683</c:v>
                </c:pt>
                <c:pt idx="9">
                  <c:v>2.5956798477888068</c:v>
                </c:pt>
                <c:pt idx="10">
                  <c:v>2.2793177815347265</c:v>
                </c:pt>
                <c:pt idx="11">
                  <c:v>2.064459803446494</c:v>
                </c:pt>
                <c:pt idx="12">
                  <c:v>1.9154070158582506</c:v>
                </c:pt>
                <c:pt idx="13">
                  <c:v>1.8128349291794104</c:v>
                </c:pt>
                <c:pt idx="14">
                  <c:v>1.745673579191918</c:v>
                </c:pt>
                <c:pt idx="15">
                  <c:v>1.7075683553691801</c:v>
                </c:pt>
                <c:pt idx="16">
                  <c:v>1.6952096123304692</c:v>
                </c:pt>
                <c:pt idx="17">
                  <c:v>1.7075683553691732</c:v>
                </c:pt>
                <c:pt idx="18">
                  <c:v>1.7456735791919187</c:v>
                </c:pt>
                <c:pt idx="19">
                  <c:v>1.8128349291794241</c:v>
                </c:pt>
                <c:pt idx="20">
                  <c:v>1.9154070158582575</c:v>
                </c:pt>
                <c:pt idx="21">
                  <c:v>2.0644598034465806</c:v>
                </c:pt>
                <c:pt idx="22">
                  <c:v>2.2793177815347598</c:v>
                </c:pt>
                <c:pt idx="23">
                  <c:v>2.5956798477887446</c:v>
                </c:pt>
                <c:pt idx="24">
                  <c:v>3.0876936032995435</c:v>
                </c:pt>
                <c:pt idx="25">
                  <c:v>3.9516840508877644</c:v>
                </c:pt>
                <c:pt idx="26">
                  <c:v>6.2091589616050324</c:v>
                </c:pt>
                <c:pt idx="27">
                  <c:v>43.024012782254516</c:v>
                </c:pt>
                <c:pt idx="28">
                  <c:v>46.31183355885522</c:v>
                </c:pt>
                <c:pt idx="29">
                  <c:v>21.793612817651073</c:v>
                </c:pt>
                <c:pt idx="30">
                  <c:v>26.996695997414228</c:v>
                </c:pt>
                <c:pt idx="31">
                  <c:v>12.749707221704703</c:v>
                </c:pt>
                <c:pt idx="32">
                  <c:v>10.816812167673039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BA-4C9D-8B02-548310444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630191"/>
        <c:axId val="196628271"/>
      </c:scatterChart>
      <c:valAx>
        <c:axId val="196630191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628271"/>
        <c:crosses val="autoZero"/>
        <c:crossBetween val="midCat"/>
      </c:valAx>
      <c:valAx>
        <c:axId val="19662827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63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RAIZ(Re^2 + Im^2)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Hoja1!$G$2:$G$34</c:f>
              <c:numCache>
                <c:formatCode>General</c:formatCode>
                <c:ptCount val="33"/>
                <c:pt idx="0">
                  <c:v>10.816812167673039</c:v>
                </c:pt>
                <c:pt idx="1">
                  <c:v>12.749707221704737</c:v>
                </c:pt>
                <c:pt idx="2">
                  <c:v>26.99669599741393</c:v>
                </c:pt>
                <c:pt idx="3">
                  <c:v>21.793612817651059</c:v>
                </c:pt>
                <c:pt idx="4">
                  <c:v>46.311833558855326</c:v>
                </c:pt>
                <c:pt idx="5">
                  <c:v>43.024012782254502</c:v>
                </c:pt>
                <c:pt idx="6">
                  <c:v>6.2091589616050431</c:v>
                </c:pt>
                <c:pt idx="7">
                  <c:v>3.9516840508877444</c:v>
                </c:pt>
                <c:pt idx="8">
                  <c:v>3.0876936032995683</c:v>
                </c:pt>
                <c:pt idx="9">
                  <c:v>2.5956798477888068</c:v>
                </c:pt>
                <c:pt idx="10">
                  <c:v>2.2793177815347265</c:v>
                </c:pt>
                <c:pt idx="11">
                  <c:v>2.064459803446494</c:v>
                </c:pt>
                <c:pt idx="12">
                  <c:v>1.9154070158582506</c:v>
                </c:pt>
                <c:pt idx="13">
                  <c:v>1.8128349291794104</c:v>
                </c:pt>
                <c:pt idx="14">
                  <c:v>1.745673579191918</c:v>
                </c:pt>
                <c:pt idx="15">
                  <c:v>1.7075683553691801</c:v>
                </c:pt>
                <c:pt idx="16">
                  <c:v>1.6952096123304692</c:v>
                </c:pt>
                <c:pt idx="17">
                  <c:v>1.7075683553691732</c:v>
                </c:pt>
                <c:pt idx="18">
                  <c:v>1.7456735791919187</c:v>
                </c:pt>
                <c:pt idx="19">
                  <c:v>1.8128349291794241</c:v>
                </c:pt>
                <c:pt idx="20">
                  <c:v>1.9154070158582575</c:v>
                </c:pt>
                <c:pt idx="21">
                  <c:v>2.0644598034465806</c:v>
                </c:pt>
                <c:pt idx="22">
                  <c:v>2.2793177815347598</c:v>
                </c:pt>
                <c:pt idx="23">
                  <c:v>2.5956798477887446</c:v>
                </c:pt>
                <c:pt idx="24">
                  <c:v>3.0876936032995435</c:v>
                </c:pt>
                <c:pt idx="25">
                  <c:v>3.9516840508877644</c:v>
                </c:pt>
                <c:pt idx="26">
                  <c:v>6.2091589616050324</c:v>
                </c:pt>
                <c:pt idx="27">
                  <c:v>43.024012782254516</c:v>
                </c:pt>
                <c:pt idx="28">
                  <c:v>46.31183355885522</c:v>
                </c:pt>
                <c:pt idx="29">
                  <c:v>21.793612817651073</c:v>
                </c:pt>
                <c:pt idx="30">
                  <c:v>26.996695997414228</c:v>
                </c:pt>
                <c:pt idx="31">
                  <c:v>12.749707221704703</c:v>
                </c:pt>
                <c:pt idx="32">
                  <c:v>10.816812167673039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7-454A-A805-B7E6627C3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0360319"/>
        <c:axId val="1150360799"/>
      </c:barChart>
      <c:catAx>
        <c:axId val="1150360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0360799"/>
        <c:crossesAt val="0"/>
        <c:auto val="1"/>
        <c:lblAlgn val="ctr"/>
        <c:lblOffset val="100"/>
        <c:noMultiLvlLbl val="0"/>
      </c:catAx>
      <c:valAx>
        <c:axId val="11503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0360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RAIZ(Re^2 + Im^2)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Hoja1!$B$2:$B$34</c:f>
              <c:numCache>
                <c:formatCode>General</c:formatCode>
                <c:ptCount val="33"/>
                <c:pt idx="0">
                  <c:v>0</c:v>
                </c:pt>
                <c:pt idx="1">
                  <c:v>3.125</c:v>
                </c:pt>
                <c:pt idx="2">
                  <c:v>6.25</c:v>
                </c:pt>
                <c:pt idx="3">
                  <c:v>9.375</c:v>
                </c:pt>
                <c:pt idx="4">
                  <c:v>12.5</c:v>
                </c:pt>
                <c:pt idx="5">
                  <c:v>15.625</c:v>
                </c:pt>
                <c:pt idx="6">
                  <c:v>18.75</c:v>
                </c:pt>
                <c:pt idx="7">
                  <c:v>21.875</c:v>
                </c:pt>
                <c:pt idx="8">
                  <c:v>25</c:v>
                </c:pt>
                <c:pt idx="9">
                  <c:v>28.125</c:v>
                </c:pt>
                <c:pt idx="10">
                  <c:v>31.25</c:v>
                </c:pt>
                <c:pt idx="11">
                  <c:v>34.375</c:v>
                </c:pt>
                <c:pt idx="12">
                  <c:v>37.5</c:v>
                </c:pt>
                <c:pt idx="13">
                  <c:v>40.625</c:v>
                </c:pt>
                <c:pt idx="14">
                  <c:v>43.75</c:v>
                </c:pt>
                <c:pt idx="15">
                  <c:v>46.875</c:v>
                </c:pt>
                <c:pt idx="16">
                  <c:v>50</c:v>
                </c:pt>
                <c:pt idx="17">
                  <c:v>53.125</c:v>
                </c:pt>
                <c:pt idx="18">
                  <c:v>56.25</c:v>
                </c:pt>
                <c:pt idx="19">
                  <c:v>59.375</c:v>
                </c:pt>
                <c:pt idx="20">
                  <c:v>62.5</c:v>
                </c:pt>
                <c:pt idx="21">
                  <c:v>65.625</c:v>
                </c:pt>
                <c:pt idx="22">
                  <c:v>68.75</c:v>
                </c:pt>
                <c:pt idx="23">
                  <c:v>71.875</c:v>
                </c:pt>
                <c:pt idx="24">
                  <c:v>75</c:v>
                </c:pt>
                <c:pt idx="25">
                  <c:v>78.125</c:v>
                </c:pt>
                <c:pt idx="26">
                  <c:v>81.25</c:v>
                </c:pt>
                <c:pt idx="27">
                  <c:v>84.375</c:v>
                </c:pt>
                <c:pt idx="28">
                  <c:v>87.5</c:v>
                </c:pt>
                <c:pt idx="29">
                  <c:v>90.625</c:v>
                </c:pt>
                <c:pt idx="30">
                  <c:v>93.75</c:v>
                </c:pt>
                <c:pt idx="31">
                  <c:v>96.875</c:v>
                </c:pt>
                <c:pt idx="32">
                  <c:v>100</c:v>
                </c:pt>
              </c:numCache>
            </c:numRef>
          </c:xVal>
          <c:yVal>
            <c:numRef>
              <c:f>Hoja1!$G$2:$G$34</c:f>
              <c:numCache>
                <c:formatCode>General</c:formatCode>
                <c:ptCount val="33"/>
                <c:pt idx="0">
                  <c:v>10.816812167673039</c:v>
                </c:pt>
                <c:pt idx="1">
                  <c:v>12.749707221704737</c:v>
                </c:pt>
                <c:pt idx="2">
                  <c:v>26.99669599741393</c:v>
                </c:pt>
                <c:pt idx="3">
                  <c:v>21.793612817651059</c:v>
                </c:pt>
                <c:pt idx="4">
                  <c:v>46.311833558855326</c:v>
                </c:pt>
                <c:pt idx="5">
                  <c:v>43.024012782254502</c:v>
                </c:pt>
                <c:pt idx="6">
                  <c:v>6.2091589616050431</c:v>
                </c:pt>
                <c:pt idx="7">
                  <c:v>3.9516840508877444</c:v>
                </c:pt>
                <c:pt idx="8">
                  <c:v>3.0876936032995683</c:v>
                </c:pt>
                <c:pt idx="9">
                  <c:v>2.5956798477888068</c:v>
                </c:pt>
                <c:pt idx="10">
                  <c:v>2.2793177815347265</c:v>
                </c:pt>
                <c:pt idx="11">
                  <c:v>2.064459803446494</c:v>
                </c:pt>
                <c:pt idx="12">
                  <c:v>1.9154070158582506</c:v>
                </c:pt>
                <c:pt idx="13">
                  <c:v>1.8128349291794104</c:v>
                </c:pt>
                <c:pt idx="14">
                  <c:v>1.745673579191918</c:v>
                </c:pt>
                <c:pt idx="15">
                  <c:v>1.7075683553691801</c:v>
                </c:pt>
                <c:pt idx="16">
                  <c:v>1.6952096123304692</c:v>
                </c:pt>
                <c:pt idx="17">
                  <c:v>1.7075683553691732</c:v>
                </c:pt>
                <c:pt idx="18">
                  <c:v>1.7456735791919187</c:v>
                </c:pt>
                <c:pt idx="19">
                  <c:v>1.8128349291794241</c:v>
                </c:pt>
                <c:pt idx="20">
                  <c:v>1.9154070158582575</c:v>
                </c:pt>
                <c:pt idx="21">
                  <c:v>2.0644598034465806</c:v>
                </c:pt>
                <c:pt idx="22">
                  <c:v>2.2793177815347598</c:v>
                </c:pt>
                <c:pt idx="23">
                  <c:v>2.5956798477887446</c:v>
                </c:pt>
                <c:pt idx="24">
                  <c:v>3.0876936032995435</c:v>
                </c:pt>
                <c:pt idx="25">
                  <c:v>3.9516840508877644</c:v>
                </c:pt>
                <c:pt idx="26">
                  <c:v>6.2091589616050324</c:v>
                </c:pt>
                <c:pt idx="27">
                  <c:v>43.024012782254516</c:v>
                </c:pt>
                <c:pt idx="28">
                  <c:v>46.31183355885522</c:v>
                </c:pt>
                <c:pt idx="29">
                  <c:v>21.793612817651073</c:v>
                </c:pt>
                <c:pt idx="30">
                  <c:v>26.996695997414228</c:v>
                </c:pt>
                <c:pt idx="31">
                  <c:v>12.749707221704703</c:v>
                </c:pt>
                <c:pt idx="32">
                  <c:v>10.816812167673039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8-4E39-864A-2B827C37E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20191"/>
        <c:axId val="200217791"/>
      </c:scatterChart>
      <c:valAx>
        <c:axId val="200220191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217791"/>
        <c:crosses val="autoZero"/>
        <c:crossBetween val="midCat"/>
      </c:valAx>
      <c:valAx>
        <c:axId val="20021779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0220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Hoja1!$G$1</c:f>
              <c:strCache>
                <c:ptCount val="1"/>
                <c:pt idx="0">
                  <c:v>RAIZ(Re^2 + Im^2)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Hoja1!$B$2:$B$34</c:f>
              <c:numCache>
                <c:formatCode>General</c:formatCode>
                <c:ptCount val="33"/>
                <c:pt idx="0">
                  <c:v>0</c:v>
                </c:pt>
                <c:pt idx="1">
                  <c:v>3.125</c:v>
                </c:pt>
                <c:pt idx="2">
                  <c:v>6.25</c:v>
                </c:pt>
                <c:pt idx="3">
                  <c:v>9.375</c:v>
                </c:pt>
                <c:pt idx="4">
                  <c:v>12.5</c:v>
                </c:pt>
                <c:pt idx="5">
                  <c:v>15.625</c:v>
                </c:pt>
                <c:pt idx="6">
                  <c:v>18.75</c:v>
                </c:pt>
                <c:pt idx="7">
                  <c:v>21.875</c:v>
                </c:pt>
                <c:pt idx="8">
                  <c:v>25</c:v>
                </c:pt>
                <c:pt idx="9">
                  <c:v>28.125</c:v>
                </c:pt>
                <c:pt idx="10">
                  <c:v>31.25</c:v>
                </c:pt>
                <c:pt idx="11">
                  <c:v>34.375</c:v>
                </c:pt>
                <c:pt idx="12">
                  <c:v>37.5</c:v>
                </c:pt>
                <c:pt idx="13">
                  <c:v>40.625</c:v>
                </c:pt>
                <c:pt idx="14">
                  <c:v>43.75</c:v>
                </c:pt>
                <c:pt idx="15">
                  <c:v>46.875</c:v>
                </c:pt>
                <c:pt idx="16">
                  <c:v>50</c:v>
                </c:pt>
                <c:pt idx="17">
                  <c:v>53.125</c:v>
                </c:pt>
                <c:pt idx="18">
                  <c:v>56.25</c:v>
                </c:pt>
                <c:pt idx="19">
                  <c:v>59.375</c:v>
                </c:pt>
                <c:pt idx="20">
                  <c:v>62.5</c:v>
                </c:pt>
                <c:pt idx="21">
                  <c:v>65.625</c:v>
                </c:pt>
                <c:pt idx="22">
                  <c:v>68.75</c:v>
                </c:pt>
                <c:pt idx="23">
                  <c:v>71.875</c:v>
                </c:pt>
                <c:pt idx="24">
                  <c:v>75</c:v>
                </c:pt>
                <c:pt idx="25">
                  <c:v>78.125</c:v>
                </c:pt>
                <c:pt idx="26">
                  <c:v>81.25</c:v>
                </c:pt>
                <c:pt idx="27">
                  <c:v>84.375</c:v>
                </c:pt>
                <c:pt idx="28">
                  <c:v>87.5</c:v>
                </c:pt>
                <c:pt idx="29">
                  <c:v>90.625</c:v>
                </c:pt>
                <c:pt idx="30">
                  <c:v>93.75</c:v>
                </c:pt>
                <c:pt idx="31">
                  <c:v>96.875</c:v>
                </c:pt>
                <c:pt idx="32">
                  <c:v>100</c:v>
                </c:pt>
              </c:numCache>
            </c:numRef>
          </c:cat>
          <c:val>
            <c:numRef>
              <c:f>Hoja1!$G$2:$G$34</c:f>
              <c:numCache>
                <c:formatCode>General</c:formatCode>
                <c:ptCount val="33"/>
                <c:pt idx="0">
                  <c:v>10.816812167673039</c:v>
                </c:pt>
                <c:pt idx="1">
                  <c:v>12.749707221704737</c:v>
                </c:pt>
                <c:pt idx="2">
                  <c:v>26.99669599741393</c:v>
                </c:pt>
                <c:pt idx="3">
                  <c:v>21.793612817651059</c:v>
                </c:pt>
                <c:pt idx="4">
                  <c:v>46.311833558855326</c:v>
                </c:pt>
                <c:pt idx="5">
                  <c:v>43.024012782254502</c:v>
                </c:pt>
                <c:pt idx="6">
                  <c:v>6.2091589616050431</c:v>
                </c:pt>
                <c:pt idx="7">
                  <c:v>3.9516840508877444</c:v>
                </c:pt>
                <c:pt idx="8">
                  <c:v>3.0876936032995683</c:v>
                </c:pt>
                <c:pt idx="9">
                  <c:v>2.5956798477888068</c:v>
                </c:pt>
                <c:pt idx="10">
                  <c:v>2.2793177815347265</c:v>
                </c:pt>
                <c:pt idx="11">
                  <c:v>2.064459803446494</c:v>
                </c:pt>
                <c:pt idx="12">
                  <c:v>1.9154070158582506</c:v>
                </c:pt>
                <c:pt idx="13">
                  <c:v>1.8128349291794104</c:v>
                </c:pt>
                <c:pt idx="14">
                  <c:v>1.745673579191918</c:v>
                </c:pt>
                <c:pt idx="15">
                  <c:v>1.7075683553691801</c:v>
                </c:pt>
                <c:pt idx="16">
                  <c:v>1.6952096123304692</c:v>
                </c:pt>
                <c:pt idx="17">
                  <c:v>1.7075683553691732</c:v>
                </c:pt>
                <c:pt idx="18">
                  <c:v>1.7456735791919187</c:v>
                </c:pt>
                <c:pt idx="19">
                  <c:v>1.8128349291794241</c:v>
                </c:pt>
                <c:pt idx="20">
                  <c:v>1.9154070158582575</c:v>
                </c:pt>
                <c:pt idx="21">
                  <c:v>2.0644598034465806</c:v>
                </c:pt>
                <c:pt idx="22">
                  <c:v>2.2793177815347598</c:v>
                </c:pt>
                <c:pt idx="23">
                  <c:v>2.5956798477887446</c:v>
                </c:pt>
                <c:pt idx="24">
                  <c:v>3.0876936032995435</c:v>
                </c:pt>
                <c:pt idx="25">
                  <c:v>3.9516840508877644</c:v>
                </c:pt>
                <c:pt idx="26">
                  <c:v>6.2091589616050324</c:v>
                </c:pt>
                <c:pt idx="27">
                  <c:v>43.024012782254516</c:v>
                </c:pt>
                <c:pt idx="28">
                  <c:v>46.31183355885522</c:v>
                </c:pt>
                <c:pt idx="29">
                  <c:v>21.793612817651073</c:v>
                </c:pt>
                <c:pt idx="30">
                  <c:v>26.996695997414228</c:v>
                </c:pt>
                <c:pt idx="31">
                  <c:v>12.749707221704703</c:v>
                </c:pt>
                <c:pt idx="32">
                  <c:v>10.816812167673039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40-46CC-9B03-321F9F349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558879"/>
        <c:axId val="204559359"/>
      </c:barChart>
      <c:catAx>
        <c:axId val="20455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559359"/>
        <c:crosses val="autoZero"/>
        <c:auto val="1"/>
        <c:lblAlgn val="ctr"/>
        <c:lblOffset val="100"/>
        <c:noMultiLvlLbl val="0"/>
      </c:catAx>
      <c:valAx>
        <c:axId val="2045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455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403860</xdr:colOff>
      <xdr:row>19</xdr:row>
      <xdr:rowOff>26670</xdr:rowOff>
    </xdr:from>
    <xdr:to>
      <xdr:col>14</xdr:col>
      <xdr:colOff>487680</xdr:colOff>
      <xdr:row>36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CFF960-DE4F-77D7-6374-6C0A3C8B7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777240</xdr:colOff>
      <xdr:row>19</xdr:row>
      <xdr:rowOff>49530</xdr:rowOff>
    </xdr:from>
    <xdr:to>
      <xdr:col>22</xdr:col>
      <xdr:colOff>586740</xdr:colOff>
      <xdr:row>36</xdr:row>
      <xdr:rowOff>38100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729D615-0230-ED65-1309-B22C360F8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426720</xdr:colOff>
      <xdr:row>1</xdr:row>
      <xdr:rowOff>3810</xdr:rowOff>
    </xdr:from>
    <xdr:to>
      <xdr:col>14</xdr:col>
      <xdr:colOff>525780</xdr:colOff>
      <xdr:row>18</xdr:row>
      <xdr:rowOff>68580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178A2F1-2FFF-212C-8EEC-648B8F38B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723900</xdr:colOff>
      <xdr:row>1</xdr:row>
      <xdr:rowOff>3810</xdr:rowOff>
    </xdr:from>
    <xdr:to>
      <xdr:col>22</xdr:col>
      <xdr:colOff>601980</xdr:colOff>
      <xdr:row>18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7385E89-6456-9797-61F1-278A455E0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sqref="A1:G32"/>
    </sheetView>
  </sheetViews>
  <sheetFormatPr baseColWidth="10" defaultRowHeight="14.4" x14ac:dyDescent="0.3"/>
  <cols>
    <col min="1" max="2" width="6.109375" style="3" customWidth="1"/>
    <col min="3" max="4" width="12.6640625" style="3" bestFit="1" customWidth="1"/>
    <col min="5" max="6" width="11.5546875" style="3"/>
    <col min="7" max="7" width="16.5546875" style="3" bestFit="1" customWidth="1"/>
    <col min="8" max="16384" width="11.5546875" style="3"/>
  </cols>
  <sheetData>
    <row r="1" spans="1:7" s="2" customFormat="1" x14ac:dyDescent="0.3">
      <c r="A1" s="4" t="s">
        <v>0</v>
      </c>
      <c r="B1" s="4" t="s">
        <v>6</v>
      </c>
      <c r="C1" s="1" t="s">
        <v>1</v>
      </c>
      <c r="D1" s="1" t="s">
        <v>2</v>
      </c>
      <c r="E1" s="5" t="s">
        <v>3</v>
      </c>
      <c r="F1" s="5" t="s">
        <v>4</v>
      </c>
      <c r="G1" s="6" t="s">
        <v>5</v>
      </c>
    </row>
    <row r="2" spans="1:7" x14ac:dyDescent="0.3">
      <c r="A2" s="3">
        <v>0</v>
      </c>
      <c r="B2" s="3">
        <f>A2*100/32</f>
        <v>0</v>
      </c>
      <c r="C2" s="3">
        <v>10.816812167673039</v>
      </c>
      <c r="D2" s="3">
        <v>0</v>
      </c>
      <c r="E2" s="3">
        <f>C2^2</f>
        <v>117.00342547071951</v>
      </c>
      <c r="F2" s="3">
        <f>D2^2</f>
        <v>0</v>
      </c>
      <c r="G2" s="3">
        <f>SQRT(E2+F2)</f>
        <v>10.816812167673039</v>
      </c>
    </row>
    <row r="3" spans="1:7" x14ac:dyDescent="0.3">
      <c r="A3" s="3">
        <v>1</v>
      </c>
      <c r="B3" s="3">
        <f t="shared" ref="B3:B34" si="0">A3*100/32</f>
        <v>3.125</v>
      </c>
      <c r="C3" s="3">
        <v>12.683081046397223</v>
      </c>
      <c r="D3" s="3">
        <v>-1.3017255508398924</v>
      </c>
      <c r="E3" s="3">
        <f t="shared" ref="E3:F34" si="1">C3^2</f>
        <v>160.86054482948049</v>
      </c>
      <c r="F3" s="3">
        <f t="shared" si="1"/>
        <v>1.6944894097094212</v>
      </c>
      <c r="G3" s="3">
        <f t="shared" ref="G3:G34" si="2">SQRT(E3+F3)</f>
        <v>12.749707221704737</v>
      </c>
    </row>
    <row r="4" spans="1:7" x14ac:dyDescent="0.3">
      <c r="A4" s="3">
        <v>2</v>
      </c>
      <c r="B4" s="3">
        <f t="shared" si="0"/>
        <v>6.25</v>
      </c>
      <c r="C4" s="3">
        <v>26.542754445120316</v>
      </c>
      <c r="D4" s="3">
        <v>-4.9298865344783493</v>
      </c>
      <c r="E4" s="3">
        <f t="shared" si="1"/>
        <v>704.51781353395427</v>
      </c>
      <c r="F4" s="3">
        <f t="shared" si="1"/>
        <v>24.303781242830951</v>
      </c>
      <c r="G4" s="3">
        <f t="shared" si="2"/>
        <v>26.99669599741393</v>
      </c>
    </row>
    <row r="5" spans="1:7" x14ac:dyDescent="0.3">
      <c r="A5" s="3">
        <v>3</v>
      </c>
      <c r="B5" s="3">
        <f t="shared" si="0"/>
        <v>9.375</v>
      </c>
      <c r="C5" s="3">
        <v>-21.735589349165419</v>
      </c>
      <c r="D5" s="3">
        <v>1.5892499143090377</v>
      </c>
      <c r="E5" s="3">
        <f t="shared" si="1"/>
        <v>472.43584435555323</v>
      </c>
      <c r="F5" s="3">
        <f t="shared" si="1"/>
        <v>2.5257152901312838</v>
      </c>
      <c r="G5" s="3">
        <f t="shared" si="2"/>
        <v>21.793612817651059</v>
      </c>
    </row>
    <row r="6" spans="1:7" x14ac:dyDescent="0.3">
      <c r="A6" s="3">
        <v>4</v>
      </c>
      <c r="B6" s="3">
        <f t="shared" si="0"/>
        <v>12.5</v>
      </c>
      <c r="C6" s="3">
        <v>-24.025975970035439</v>
      </c>
      <c r="D6" s="3">
        <v>39.592150816423171</v>
      </c>
      <c r="E6" s="3">
        <f t="shared" si="1"/>
        <v>577.24752131272032</v>
      </c>
      <c r="F6" s="3">
        <f t="shared" si="1"/>
        <v>1567.5384062703979</v>
      </c>
      <c r="G6" s="3">
        <f t="shared" si="2"/>
        <v>46.311833558855326</v>
      </c>
    </row>
    <row r="7" spans="1:7" x14ac:dyDescent="0.3">
      <c r="A7" s="3">
        <v>5</v>
      </c>
      <c r="B7" s="3">
        <f t="shared" si="0"/>
        <v>15.625</v>
      </c>
      <c r="C7" s="3">
        <v>7.9146284324751912</v>
      </c>
      <c r="D7" s="3">
        <v>42.289766287642856</v>
      </c>
      <c r="E7" s="3">
        <f t="shared" si="1"/>
        <v>62.641343224144705</v>
      </c>
      <c r="F7" s="3">
        <f t="shared" si="1"/>
        <v>1788.4243326634542</v>
      </c>
      <c r="G7" s="3">
        <f t="shared" si="2"/>
        <v>43.024012782254502</v>
      </c>
    </row>
    <row r="8" spans="1:7" x14ac:dyDescent="0.3">
      <c r="A8" s="3">
        <v>6</v>
      </c>
      <c r="B8" s="3">
        <f t="shared" si="0"/>
        <v>18.75</v>
      </c>
      <c r="C8" s="3">
        <v>-6.028940536698399</v>
      </c>
      <c r="D8" s="3">
        <v>-1.485103031925745</v>
      </c>
      <c r="E8" s="3">
        <f t="shared" si="1"/>
        <v>36.348123995045178</v>
      </c>
      <c r="F8" s="3">
        <f t="shared" si="1"/>
        <v>2.2055310154350405</v>
      </c>
      <c r="G8" s="3">
        <f t="shared" si="2"/>
        <v>6.2091589616050431</v>
      </c>
    </row>
    <row r="9" spans="1:7" x14ac:dyDescent="0.3">
      <c r="A9" s="3">
        <v>7</v>
      </c>
      <c r="B9" s="3">
        <f t="shared" si="0"/>
        <v>21.875</v>
      </c>
      <c r="C9" s="3">
        <v>-3.9492605455058873</v>
      </c>
      <c r="D9" s="3">
        <v>0.13837623260919735</v>
      </c>
      <c r="E9" s="3">
        <f t="shared" si="1"/>
        <v>15.596658856289459</v>
      </c>
      <c r="F9" s="3">
        <f t="shared" si="1"/>
        <v>1.9147981751114693E-2</v>
      </c>
      <c r="G9" s="3">
        <f t="shared" si="2"/>
        <v>3.9516840508877444</v>
      </c>
    </row>
    <row r="10" spans="1:7" x14ac:dyDescent="0.3">
      <c r="A10" s="3">
        <v>8</v>
      </c>
      <c r="B10" s="3">
        <f t="shared" si="0"/>
        <v>25</v>
      </c>
      <c r="C10" s="3">
        <v>-3.0647171642908813</v>
      </c>
      <c r="D10" s="3">
        <v>0.37597937544223553</v>
      </c>
      <c r="E10" s="3">
        <f t="shared" si="1"/>
        <v>9.3924912970991397</v>
      </c>
      <c r="F10" s="3">
        <f t="shared" si="1"/>
        <v>0.1413604907579335</v>
      </c>
      <c r="G10" s="3">
        <f t="shared" si="2"/>
        <v>3.0876936032995683</v>
      </c>
    </row>
    <row r="11" spans="1:7" x14ac:dyDescent="0.3">
      <c r="A11" s="3">
        <v>9</v>
      </c>
      <c r="B11" s="3">
        <f t="shared" si="0"/>
        <v>28.125</v>
      </c>
      <c r="C11" s="3">
        <v>-2.5657203288798769</v>
      </c>
      <c r="D11" s="3">
        <v>0.39323411117228857</v>
      </c>
      <c r="E11" s="3">
        <f t="shared" si="1"/>
        <v>6.582920806027464</v>
      </c>
      <c r="F11" s="3">
        <f t="shared" si="1"/>
        <v>0.15463306618945979</v>
      </c>
      <c r="G11" s="3">
        <f t="shared" si="2"/>
        <v>2.5956798477888068</v>
      </c>
    </row>
    <row r="12" spans="1:7" x14ac:dyDescent="0.3">
      <c r="A12" s="3">
        <v>10</v>
      </c>
      <c r="B12" s="3">
        <f t="shared" si="0"/>
        <v>31.25</v>
      </c>
      <c r="C12" s="3">
        <v>-2.2516404192841524</v>
      </c>
      <c r="D12" s="3">
        <v>0.35412564361575882</v>
      </c>
      <c r="E12" s="3">
        <f t="shared" si="1"/>
        <v>5.0698845777541131</v>
      </c>
      <c r="F12" s="3">
        <f t="shared" si="1"/>
        <v>0.12540497146627544</v>
      </c>
      <c r="G12" s="3">
        <f t="shared" si="2"/>
        <v>2.2793177815347265</v>
      </c>
    </row>
    <row r="13" spans="1:7" x14ac:dyDescent="0.3">
      <c r="A13" s="3">
        <v>11</v>
      </c>
      <c r="B13" s="3">
        <f t="shared" si="0"/>
        <v>34.375</v>
      </c>
      <c r="C13" s="3">
        <v>-2.0427704205258435</v>
      </c>
      <c r="D13" s="3">
        <v>0.29846823796009786</v>
      </c>
      <c r="E13" s="3">
        <f t="shared" si="1"/>
        <v>4.172910990975331</v>
      </c>
      <c r="F13" s="3">
        <f t="shared" si="1"/>
        <v>8.90832890710056E-2</v>
      </c>
      <c r="G13" s="3">
        <f t="shared" si="2"/>
        <v>2.064459803446494</v>
      </c>
    </row>
    <row r="14" spans="1:7" x14ac:dyDescent="0.3">
      <c r="A14" s="3">
        <v>12</v>
      </c>
      <c r="B14" s="3">
        <f t="shared" si="0"/>
        <v>37.5</v>
      </c>
      <c r="C14" s="3">
        <v>-1.9005174739455588</v>
      </c>
      <c r="D14" s="3">
        <v>0.23836393944261125</v>
      </c>
      <c r="E14" s="3">
        <f t="shared" si="1"/>
        <v>3.6119666687724079</v>
      </c>
      <c r="F14" s="3">
        <f t="shared" si="1"/>
        <v>5.6817367626600841E-2</v>
      </c>
      <c r="G14" s="3">
        <f t="shared" si="2"/>
        <v>1.9154070158582506</v>
      </c>
    </row>
    <row r="15" spans="1:7" x14ac:dyDescent="0.3">
      <c r="A15" s="3">
        <v>13</v>
      </c>
      <c r="B15" s="3">
        <f t="shared" si="0"/>
        <v>40.625</v>
      </c>
      <c r="C15" s="3">
        <v>-1.8040974923529296</v>
      </c>
      <c r="D15" s="3">
        <v>0.17777153466961132</v>
      </c>
      <c r="E15" s="3">
        <f t="shared" si="1"/>
        <v>3.2547677619141289</v>
      </c>
      <c r="F15" s="3">
        <f t="shared" si="1"/>
        <v>3.1602718538788821E-2</v>
      </c>
      <c r="G15" s="3">
        <f t="shared" si="2"/>
        <v>1.8128349291794104</v>
      </c>
    </row>
    <row r="16" spans="1:7" x14ac:dyDescent="0.3">
      <c r="A16" s="3">
        <v>14</v>
      </c>
      <c r="B16" s="3">
        <f t="shared" si="0"/>
        <v>43.75</v>
      </c>
      <c r="C16" s="3">
        <v>-1.7416911248510782</v>
      </c>
      <c r="D16" s="3">
        <v>0.11784850743096983</v>
      </c>
      <c r="E16" s="3">
        <f t="shared" si="1"/>
        <v>3.0334879743850141</v>
      </c>
      <c r="F16" s="3">
        <f t="shared" si="1"/>
        <v>1.3888270703707352E-2</v>
      </c>
      <c r="G16" s="3">
        <f t="shared" si="2"/>
        <v>1.745673579191918</v>
      </c>
    </row>
    <row r="17" spans="1:7" x14ac:dyDescent="0.3">
      <c r="A17" s="3">
        <v>15</v>
      </c>
      <c r="B17" s="3">
        <f t="shared" si="0"/>
        <v>46.875</v>
      </c>
      <c r="C17" s="3">
        <v>-1.7065592664482292</v>
      </c>
      <c r="D17" s="3">
        <v>5.8695471357579534E-2</v>
      </c>
      <c r="E17" s="3">
        <f t="shared" si="1"/>
        <v>2.9123445299003183</v>
      </c>
      <c r="F17" s="3">
        <f t="shared" si="1"/>
        <v>3.4451583578884396E-3</v>
      </c>
      <c r="G17" s="3">
        <f t="shared" si="2"/>
        <v>1.7075683553691801</v>
      </c>
    </row>
    <row r="18" spans="1:7" x14ac:dyDescent="0.3">
      <c r="A18" s="3">
        <v>16</v>
      </c>
      <c r="B18" s="3">
        <f t="shared" si="0"/>
        <v>50</v>
      </c>
      <c r="C18" s="3">
        <v>-1.6952096123304692</v>
      </c>
      <c r="D18" s="3">
        <v>8.1808864184307629E-14</v>
      </c>
      <c r="E18" s="3">
        <f t="shared" si="1"/>
        <v>2.8737356297376198</v>
      </c>
      <c r="F18" s="3">
        <f t="shared" si="1"/>
        <v>6.6926902591264914E-27</v>
      </c>
      <c r="G18" s="3">
        <f t="shared" si="2"/>
        <v>1.6952096123304692</v>
      </c>
    </row>
    <row r="19" spans="1:7" x14ac:dyDescent="0.3">
      <c r="A19" s="3">
        <v>17</v>
      </c>
      <c r="B19" s="3">
        <f t="shared" si="0"/>
        <v>53.125</v>
      </c>
      <c r="C19" s="3">
        <v>-1.7065592664482243</v>
      </c>
      <c r="D19" s="3">
        <v>-5.8695471357519118E-2</v>
      </c>
      <c r="E19" s="3">
        <f t="shared" si="1"/>
        <v>2.9123445299003015</v>
      </c>
      <c r="F19" s="3">
        <f t="shared" si="1"/>
        <v>3.4451583578813472E-3</v>
      </c>
      <c r="G19" s="3">
        <f t="shared" si="2"/>
        <v>1.7075683553691732</v>
      </c>
    </row>
    <row r="20" spans="1:7" x14ac:dyDescent="0.3">
      <c r="A20" s="3">
        <v>18</v>
      </c>
      <c r="B20" s="3">
        <f t="shared" si="0"/>
        <v>56.25</v>
      </c>
      <c r="C20" s="3">
        <v>-1.7416911248510836</v>
      </c>
      <c r="D20" s="3">
        <v>-0.11784850743090154</v>
      </c>
      <c r="E20" s="3">
        <f t="shared" si="1"/>
        <v>3.0334879743850327</v>
      </c>
      <c r="F20" s="3">
        <f t="shared" si="1"/>
        <v>1.3888270703691256E-2</v>
      </c>
      <c r="G20" s="3">
        <f t="shared" si="2"/>
        <v>1.7456735791919187</v>
      </c>
    </row>
    <row r="21" spans="1:7" x14ac:dyDescent="0.3">
      <c r="A21" s="3">
        <v>19</v>
      </c>
      <c r="B21" s="3">
        <f t="shared" si="0"/>
        <v>59.375</v>
      </c>
      <c r="C21" s="3">
        <v>-1.8040974923529434</v>
      </c>
      <c r="D21" s="3">
        <v>-0.17777153466961185</v>
      </c>
      <c r="E21" s="3">
        <f t="shared" si="1"/>
        <v>3.2547677619141786</v>
      </c>
      <c r="F21" s="3">
        <f t="shared" si="1"/>
        <v>3.1602718538789008E-2</v>
      </c>
      <c r="G21" s="3">
        <f t="shared" si="2"/>
        <v>1.8128349291794241</v>
      </c>
    </row>
    <row r="22" spans="1:7" x14ac:dyDescent="0.3">
      <c r="A22" s="3">
        <v>20</v>
      </c>
      <c r="B22" s="3">
        <f t="shared" si="0"/>
        <v>62.5</v>
      </c>
      <c r="C22" s="3">
        <v>-1.9005174739455661</v>
      </c>
      <c r="D22" s="3">
        <v>-0.23836393944260756</v>
      </c>
      <c r="E22" s="3">
        <f t="shared" si="1"/>
        <v>3.6119666687724359</v>
      </c>
      <c r="F22" s="3">
        <f t="shared" si="1"/>
        <v>5.6817367626599086E-2</v>
      </c>
      <c r="G22" s="3">
        <f t="shared" si="2"/>
        <v>1.9154070158582575</v>
      </c>
    </row>
    <row r="23" spans="1:7" x14ac:dyDescent="0.3">
      <c r="A23" s="3">
        <v>21</v>
      </c>
      <c r="B23" s="3">
        <f t="shared" si="0"/>
        <v>65.625</v>
      </c>
      <c r="C23" s="3">
        <v>-2.0427704205259398</v>
      </c>
      <c r="D23" s="3">
        <v>-0.29846823796003602</v>
      </c>
      <c r="E23" s="3">
        <f t="shared" si="1"/>
        <v>4.1729109909757254</v>
      </c>
      <c r="F23" s="3">
        <f t="shared" si="1"/>
        <v>8.9083289070968685E-2</v>
      </c>
      <c r="G23" s="3">
        <f t="shared" si="2"/>
        <v>2.0644598034465806</v>
      </c>
    </row>
    <row r="24" spans="1:7" x14ac:dyDescent="0.3">
      <c r="A24" s="3">
        <v>22</v>
      </c>
      <c r="B24" s="3">
        <f t="shared" si="0"/>
        <v>68.75</v>
      </c>
      <c r="C24" s="3">
        <v>-2.2516404192841808</v>
      </c>
      <c r="D24" s="3">
        <v>-0.35412564361579013</v>
      </c>
      <c r="E24" s="3">
        <f t="shared" si="1"/>
        <v>5.0698845777542418</v>
      </c>
      <c r="F24" s="3">
        <f t="shared" si="1"/>
        <v>0.12540497146629759</v>
      </c>
      <c r="G24" s="3">
        <f t="shared" si="2"/>
        <v>2.2793177815347598</v>
      </c>
    </row>
    <row r="25" spans="1:7" x14ac:dyDescent="0.3">
      <c r="A25" s="3">
        <v>23</v>
      </c>
      <c r="B25" s="3">
        <f t="shared" si="0"/>
        <v>71.875</v>
      </c>
      <c r="C25" s="3">
        <v>-2.5657203288798089</v>
      </c>
      <c r="D25" s="3">
        <v>-0.39323411117232038</v>
      </c>
      <c r="E25" s="3">
        <f t="shared" si="1"/>
        <v>6.5829208060271149</v>
      </c>
      <c r="F25" s="3">
        <f t="shared" si="1"/>
        <v>0.15463306618948483</v>
      </c>
      <c r="G25" s="3">
        <f t="shared" si="2"/>
        <v>2.5956798477887446</v>
      </c>
    </row>
    <row r="26" spans="1:7" x14ac:dyDescent="0.3">
      <c r="A26" s="3">
        <v>24</v>
      </c>
      <c r="B26" s="3">
        <f t="shared" si="0"/>
        <v>75</v>
      </c>
      <c r="C26" s="3">
        <v>-3.0647171642908564</v>
      </c>
      <c r="D26" s="3">
        <v>-0.37597937544223181</v>
      </c>
      <c r="E26" s="3">
        <f t="shared" si="1"/>
        <v>9.3924912970989887</v>
      </c>
      <c r="F26" s="3">
        <f t="shared" si="1"/>
        <v>0.1413604907579307</v>
      </c>
      <c r="G26" s="3">
        <f t="shared" si="2"/>
        <v>3.0876936032995435</v>
      </c>
    </row>
    <row r="27" spans="1:7" x14ac:dyDescent="0.3">
      <c r="A27" s="3">
        <v>25</v>
      </c>
      <c r="B27" s="3">
        <f t="shared" si="0"/>
        <v>78.125</v>
      </c>
      <c r="C27" s="3">
        <v>-3.9492605455059091</v>
      </c>
      <c r="D27" s="3">
        <v>-0.13837623260915019</v>
      </c>
      <c r="E27" s="3">
        <f t="shared" si="1"/>
        <v>15.596658856289631</v>
      </c>
      <c r="F27" s="3">
        <f t="shared" si="1"/>
        <v>1.9147981751101641E-2</v>
      </c>
      <c r="G27" s="3">
        <f t="shared" si="2"/>
        <v>3.9516840508877644</v>
      </c>
    </row>
    <row r="28" spans="1:7" x14ac:dyDescent="0.3">
      <c r="A28" s="3">
        <v>26</v>
      </c>
      <c r="B28" s="3">
        <f t="shared" si="0"/>
        <v>81.25</v>
      </c>
      <c r="C28" s="3">
        <v>-6.0289405366984097</v>
      </c>
      <c r="D28" s="3">
        <v>1.4851030319256575</v>
      </c>
      <c r="E28" s="3">
        <f t="shared" si="1"/>
        <v>36.348123995045306</v>
      </c>
      <c r="F28" s="3">
        <f t="shared" si="1"/>
        <v>2.2055310154347807</v>
      </c>
      <c r="G28" s="3">
        <f t="shared" si="2"/>
        <v>6.2091589616050324</v>
      </c>
    </row>
    <row r="29" spans="1:7" x14ac:dyDescent="0.3">
      <c r="A29" s="3">
        <v>27</v>
      </c>
      <c r="B29" s="3">
        <f t="shared" si="0"/>
        <v>84.375</v>
      </c>
      <c r="C29" s="3">
        <v>7.9146284324747507</v>
      </c>
      <c r="D29" s="3">
        <v>-42.289766287642948</v>
      </c>
      <c r="E29" s="3">
        <f t="shared" si="1"/>
        <v>62.641343224137728</v>
      </c>
      <c r="F29" s="3">
        <f t="shared" si="1"/>
        <v>1788.4243326634621</v>
      </c>
      <c r="G29" s="3">
        <f t="shared" si="2"/>
        <v>43.024012782254516</v>
      </c>
    </row>
    <row r="30" spans="1:7" x14ac:dyDescent="0.3">
      <c r="A30" s="3">
        <v>28</v>
      </c>
      <c r="B30" s="3">
        <f t="shared" si="0"/>
        <v>87.5</v>
      </c>
      <c r="C30" s="3">
        <v>-24.025975970035564</v>
      </c>
      <c r="D30" s="3">
        <v>-39.592150816422972</v>
      </c>
      <c r="E30" s="3">
        <f t="shared" si="1"/>
        <v>577.24752131272635</v>
      </c>
      <c r="F30" s="3">
        <f t="shared" si="1"/>
        <v>1567.5384062703822</v>
      </c>
      <c r="G30" s="3">
        <f t="shared" si="2"/>
        <v>46.31183355885522</v>
      </c>
    </row>
    <row r="31" spans="1:7" x14ac:dyDescent="0.3">
      <c r="A31" s="3">
        <v>29</v>
      </c>
      <c r="B31" s="3">
        <f t="shared" si="0"/>
        <v>90.625</v>
      </c>
      <c r="C31" s="3">
        <v>-21.735589349165448</v>
      </c>
      <c r="D31" s="3">
        <v>-1.5892499143088878</v>
      </c>
      <c r="E31" s="3">
        <f t="shared" si="1"/>
        <v>472.43584435555442</v>
      </c>
      <c r="F31" s="3">
        <f t="shared" si="1"/>
        <v>2.5257152901308073</v>
      </c>
      <c r="G31" s="3">
        <f t="shared" si="2"/>
        <v>21.793612817651073</v>
      </c>
    </row>
    <row r="32" spans="1:7" x14ac:dyDescent="0.3">
      <c r="A32" s="3">
        <v>30</v>
      </c>
      <c r="B32" s="3">
        <f t="shared" si="0"/>
        <v>93.75</v>
      </c>
      <c r="C32" s="3">
        <v>26.542754445120678</v>
      </c>
      <c r="D32" s="3">
        <v>4.9298865344780376</v>
      </c>
      <c r="E32" s="3">
        <f t="shared" si="1"/>
        <v>704.51781353397348</v>
      </c>
      <c r="F32" s="3">
        <f t="shared" si="1"/>
        <v>24.303781242827874</v>
      </c>
      <c r="G32" s="3">
        <f t="shared" si="2"/>
        <v>26.996695997414228</v>
      </c>
    </row>
    <row r="33" spans="1:7" x14ac:dyDescent="0.3">
      <c r="A33" s="3">
        <v>31</v>
      </c>
      <c r="B33" s="3">
        <f t="shared" si="0"/>
        <v>96.875</v>
      </c>
      <c r="C33" s="3">
        <v>12.683081046397195</v>
      </c>
      <c r="D33" s="3">
        <v>1.3017255508398471</v>
      </c>
      <c r="E33" s="3">
        <f t="shared" si="1"/>
        <v>160.86054482947978</v>
      </c>
      <c r="F33" s="3">
        <f t="shared" si="1"/>
        <v>1.6944894097093033</v>
      </c>
      <c r="G33" s="3">
        <f t="shared" si="2"/>
        <v>12.749707221704703</v>
      </c>
    </row>
    <row r="34" spans="1:7" x14ac:dyDescent="0.3">
      <c r="A34" s="3">
        <v>32</v>
      </c>
      <c r="B34" s="3">
        <f t="shared" si="0"/>
        <v>100</v>
      </c>
      <c r="C34" s="3">
        <v>10.816812167673039</v>
      </c>
      <c r="D34" s="3">
        <v>1.8032660781403464E-13</v>
      </c>
      <c r="E34" s="3">
        <f t="shared" si="1"/>
        <v>117.00342547071951</v>
      </c>
      <c r="F34" s="3">
        <f t="shared" si="1"/>
        <v>3.2517685485716657E-26</v>
      </c>
      <c r="G34" s="3">
        <f t="shared" si="2"/>
        <v>10.816812167673039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Guevara</dc:creator>
  <cp:lastModifiedBy>Areli Alejandra Guevara Badillo</cp:lastModifiedBy>
  <dcterms:created xsi:type="dcterms:W3CDTF">2015-06-05T18:19:34Z</dcterms:created>
  <dcterms:modified xsi:type="dcterms:W3CDTF">2026-01-05T18:39:07Z</dcterms:modified>
</cp:coreProperties>
</file>