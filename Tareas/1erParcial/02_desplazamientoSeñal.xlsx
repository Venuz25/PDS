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128" documentId="11_AD4D2F04E46CFB4ACB3E20E51517CCD0683EDF1F" xr6:coauthVersionLast="47" xr6:coauthVersionMax="47" xr10:uidLastSave="{019B92F3-E0BD-402A-9315-2AA1A2EB3AE3}"/>
  <bookViews>
    <workbookView minimized="1" xWindow="1080" yWindow="1080" windowWidth="17280" windowHeight="8880" firstSheet="1" activeTab="1" xr2:uid="{00000000-000D-0000-FFFF-FFFF00000000}"/>
  </bookViews>
  <sheets>
    <sheet name="despDerecha" sheetId="1" r:id="rId1"/>
    <sheet name="despIzquier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F4" i="2"/>
  <c r="F5" i="2"/>
  <c r="F6" i="2"/>
  <c r="G6" i="2" s="1"/>
  <c r="F7" i="2"/>
  <c r="F8" i="2"/>
  <c r="F9" i="2"/>
  <c r="F10" i="2"/>
  <c r="F11" i="2"/>
  <c r="F12" i="2"/>
  <c r="F13" i="2"/>
  <c r="F14" i="2"/>
  <c r="F15" i="2"/>
  <c r="G15" i="2" s="1"/>
  <c r="F16" i="2"/>
  <c r="F17" i="2"/>
  <c r="F18" i="2"/>
  <c r="G18" i="2" s="1"/>
  <c r="F19" i="2"/>
  <c r="F20" i="2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F29" i="2"/>
  <c r="F30" i="2"/>
  <c r="F31" i="2"/>
  <c r="F32" i="2"/>
  <c r="F33" i="2"/>
  <c r="F34" i="2"/>
  <c r="G34" i="2" s="1"/>
  <c r="F35" i="2"/>
  <c r="G35" i="2" s="1"/>
  <c r="F36" i="2"/>
  <c r="G36" i="2" s="1"/>
  <c r="F37" i="2"/>
  <c r="G37" i="2" s="1"/>
  <c r="F38" i="2"/>
  <c r="G38" i="2" s="1"/>
  <c r="F39" i="2"/>
  <c r="F40" i="2"/>
  <c r="F41" i="2"/>
  <c r="F42" i="2"/>
  <c r="F43" i="2"/>
  <c r="F44" i="2"/>
  <c r="F45" i="2"/>
  <c r="F46" i="2"/>
  <c r="F47" i="2"/>
  <c r="F48" i="2"/>
  <c r="F49" i="2"/>
  <c r="G49" i="2" s="1"/>
  <c r="F50" i="2"/>
  <c r="G50" i="2" s="1"/>
  <c r="F51" i="2"/>
  <c r="G51" i="2" s="1"/>
  <c r="F52" i="2"/>
  <c r="F53" i="2"/>
  <c r="F54" i="2"/>
  <c r="F55" i="2"/>
  <c r="F56" i="2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F65" i="2"/>
  <c r="F66" i="2"/>
  <c r="F67" i="2"/>
  <c r="F68" i="2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F77" i="2"/>
  <c r="F78" i="2"/>
  <c r="F79" i="2"/>
  <c r="F80" i="2"/>
  <c r="F81" i="2"/>
  <c r="F82" i="2"/>
  <c r="F83" i="2"/>
  <c r="F84" i="2"/>
  <c r="G84" i="2" s="1"/>
  <c r="F85" i="2"/>
  <c r="G85" i="2" s="1"/>
  <c r="F86" i="2"/>
  <c r="G86" i="2" s="1"/>
  <c r="F87" i="2"/>
  <c r="F88" i="2"/>
  <c r="F89" i="2"/>
  <c r="F90" i="2"/>
  <c r="F91" i="2"/>
  <c r="F92" i="2"/>
  <c r="F93" i="2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F101" i="2"/>
  <c r="F102" i="2"/>
  <c r="F2" i="2"/>
  <c r="G8" i="2"/>
  <c r="G9" i="2"/>
  <c r="G10" i="2"/>
  <c r="G11" i="2"/>
  <c r="G12" i="2"/>
  <c r="G13" i="2"/>
  <c r="G14" i="2"/>
  <c r="G20" i="2"/>
  <c r="G45" i="2"/>
  <c r="G46" i="2"/>
  <c r="G47" i="2"/>
  <c r="G48" i="2"/>
  <c r="G81" i="2"/>
  <c r="G82" i="2"/>
  <c r="G83" i="2"/>
  <c r="G16" i="2"/>
  <c r="G19" i="2"/>
  <c r="G33" i="2"/>
  <c r="G93" i="2"/>
  <c r="G2" i="2"/>
  <c r="G4" i="2"/>
  <c r="G5" i="2"/>
  <c r="G7" i="2"/>
  <c r="G17" i="2"/>
  <c r="G28" i="2"/>
  <c r="G29" i="2"/>
  <c r="G30" i="2"/>
  <c r="G31" i="2"/>
  <c r="G32" i="2"/>
  <c r="G39" i="2"/>
  <c r="G40" i="2"/>
  <c r="G41" i="2"/>
  <c r="G42" i="2"/>
  <c r="G43" i="2"/>
  <c r="G44" i="2"/>
  <c r="G52" i="2"/>
  <c r="G53" i="2"/>
  <c r="G54" i="2"/>
  <c r="G55" i="2"/>
  <c r="G56" i="2"/>
  <c r="G64" i="2"/>
  <c r="G65" i="2"/>
  <c r="G66" i="2"/>
  <c r="G67" i="2"/>
  <c r="G68" i="2"/>
  <c r="G76" i="2"/>
  <c r="G77" i="2"/>
  <c r="G78" i="2"/>
  <c r="G79" i="2"/>
  <c r="G80" i="2"/>
  <c r="G87" i="2"/>
  <c r="G88" i="2"/>
  <c r="G89" i="2"/>
  <c r="G90" i="2"/>
  <c r="G91" i="2"/>
  <c r="G92" i="2"/>
  <c r="G100" i="2"/>
  <c r="G101" i="2"/>
  <c r="G102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A2" i="2"/>
  <c r="A3" i="2" s="1"/>
  <c r="C3" i="2" s="1"/>
  <c r="D3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2" i="1"/>
  <c r="F3" i="1"/>
  <c r="F4" i="1"/>
  <c r="F5" i="1"/>
  <c r="F6" i="1"/>
  <c r="F7" i="1"/>
  <c r="F8" i="1"/>
  <c r="F9" i="1"/>
  <c r="F10" i="1"/>
  <c r="G10" i="1" s="1"/>
  <c r="F11" i="1"/>
  <c r="G11" i="1" s="1"/>
  <c r="F12" i="1"/>
  <c r="G12" i="1" s="1"/>
  <c r="F13" i="1"/>
  <c r="G13" i="1" s="1"/>
  <c r="F14" i="1"/>
  <c r="G14" i="1" s="1"/>
  <c r="F15" i="1"/>
  <c r="F16" i="1"/>
  <c r="F17" i="1"/>
  <c r="F18" i="1"/>
  <c r="F19" i="1"/>
  <c r="F20" i="1"/>
  <c r="F21" i="1"/>
  <c r="F22" i="1"/>
  <c r="G22" i="1" s="1"/>
  <c r="F23" i="1"/>
  <c r="G23" i="1" s="1"/>
  <c r="F24" i="1"/>
  <c r="G24" i="1" s="1"/>
  <c r="F25" i="1"/>
  <c r="G25" i="1" s="1"/>
  <c r="F26" i="1"/>
  <c r="G26" i="1" s="1"/>
  <c r="F27" i="1"/>
  <c r="F28" i="1"/>
  <c r="F29" i="1"/>
  <c r="F30" i="1"/>
  <c r="F31" i="1"/>
  <c r="F32" i="1"/>
  <c r="F33" i="1"/>
  <c r="F34" i="1"/>
  <c r="G34" i="1" s="1"/>
  <c r="F35" i="1"/>
  <c r="G35" i="1" s="1"/>
  <c r="F36" i="1"/>
  <c r="G36" i="1" s="1"/>
  <c r="F37" i="1"/>
  <c r="G37" i="1" s="1"/>
  <c r="F38" i="1"/>
  <c r="G38" i="1" s="1"/>
  <c r="F39" i="1"/>
  <c r="F40" i="1"/>
  <c r="F41" i="1"/>
  <c r="F42" i="1"/>
  <c r="F43" i="1"/>
  <c r="F44" i="1"/>
  <c r="F45" i="1"/>
  <c r="F46" i="1"/>
  <c r="G46" i="1" s="1"/>
  <c r="F47" i="1"/>
  <c r="G47" i="1" s="1"/>
  <c r="F48" i="1"/>
  <c r="G48" i="1" s="1"/>
  <c r="F49" i="1"/>
  <c r="G49" i="1" s="1"/>
  <c r="F50" i="1"/>
  <c r="G50" i="1" s="1"/>
  <c r="F51" i="1"/>
  <c r="F52" i="1"/>
  <c r="F53" i="1"/>
  <c r="F54" i="1"/>
  <c r="F55" i="1"/>
  <c r="F56" i="1"/>
  <c r="F57" i="1"/>
  <c r="F58" i="1"/>
  <c r="G58" i="1" s="1"/>
  <c r="F59" i="1"/>
  <c r="G59" i="1" s="1"/>
  <c r="F60" i="1"/>
  <c r="G60" i="1" s="1"/>
  <c r="F61" i="1"/>
  <c r="G61" i="1" s="1"/>
  <c r="F62" i="1"/>
  <c r="G62" i="1" s="1"/>
  <c r="F63" i="1"/>
  <c r="F64" i="1"/>
  <c r="F65" i="1"/>
  <c r="F66" i="1"/>
  <c r="F67" i="1"/>
  <c r="F68" i="1"/>
  <c r="F69" i="1"/>
  <c r="F70" i="1"/>
  <c r="G70" i="1" s="1"/>
  <c r="F71" i="1"/>
  <c r="G71" i="1" s="1"/>
  <c r="F72" i="1"/>
  <c r="G72" i="1" s="1"/>
  <c r="F73" i="1"/>
  <c r="G73" i="1" s="1"/>
  <c r="F74" i="1"/>
  <c r="G74" i="1" s="1"/>
  <c r="F75" i="1"/>
  <c r="F76" i="1"/>
  <c r="F77" i="1"/>
  <c r="F78" i="1"/>
  <c r="F79" i="1"/>
  <c r="F80" i="1"/>
  <c r="F81" i="1"/>
  <c r="F82" i="1"/>
  <c r="G82" i="1" s="1"/>
  <c r="F83" i="1"/>
  <c r="G83" i="1" s="1"/>
  <c r="F84" i="1"/>
  <c r="G84" i="1" s="1"/>
  <c r="F85" i="1"/>
  <c r="G85" i="1" s="1"/>
  <c r="F86" i="1"/>
  <c r="G86" i="1" s="1"/>
  <c r="F87" i="1"/>
  <c r="F88" i="1"/>
  <c r="F89" i="1"/>
  <c r="F90" i="1"/>
  <c r="F91" i="1"/>
  <c r="F92" i="1"/>
  <c r="F93" i="1"/>
  <c r="F94" i="1"/>
  <c r="G94" i="1" s="1"/>
  <c r="F95" i="1"/>
  <c r="G95" i="1" s="1"/>
  <c r="F96" i="1"/>
  <c r="G96" i="1" s="1"/>
  <c r="F97" i="1"/>
  <c r="G97" i="1" s="1"/>
  <c r="F98" i="1"/>
  <c r="G98" i="1" s="1"/>
  <c r="F99" i="1"/>
  <c r="F100" i="1"/>
  <c r="F101" i="1"/>
  <c r="F102" i="1"/>
  <c r="F2" i="1"/>
  <c r="G3" i="1"/>
  <c r="G4" i="1"/>
  <c r="G5" i="1"/>
  <c r="G6" i="1"/>
  <c r="G7" i="1"/>
  <c r="G8" i="1"/>
  <c r="G9" i="1"/>
  <c r="G15" i="1"/>
  <c r="G16" i="1"/>
  <c r="G17" i="1"/>
  <c r="G18" i="1"/>
  <c r="G19" i="1"/>
  <c r="G20" i="1"/>
  <c r="G21" i="1"/>
  <c r="G27" i="1"/>
  <c r="G28" i="1"/>
  <c r="G29" i="1"/>
  <c r="G30" i="1"/>
  <c r="G31" i="1"/>
  <c r="G32" i="1"/>
  <c r="G33" i="1"/>
  <c r="G39" i="1"/>
  <c r="G40" i="1"/>
  <c r="G41" i="1"/>
  <c r="G42" i="1"/>
  <c r="G43" i="1"/>
  <c r="G44" i="1"/>
  <c r="G45" i="1"/>
  <c r="G51" i="1"/>
  <c r="G52" i="1"/>
  <c r="G53" i="1"/>
  <c r="G54" i="1"/>
  <c r="G55" i="1"/>
  <c r="G56" i="1"/>
  <c r="G57" i="1"/>
  <c r="G63" i="1"/>
  <c r="G64" i="1"/>
  <c r="G65" i="1"/>
  <c r="G66" i="1"/>
  <c r="G67" i="1"/>
  <c r="G68" i="1"/>
  <c r="G69" i="1"/>
  <c r="G75" i="1"/>
  <c r="G76" i="1"/>
  <c r="G77" i="1"/>
  <c r="G78" i="1"/>
  <c r="G79" i="1"/>
  <c r="G80" i="1"/>
  <c r="G81" i="1"/>
  <c r="G87" i="1"/>
  <c r="G88" i="1"/>
  <c r="G89" i="1"/>
  <c r="G90" i="1"/>
  <c r="G91" i="1"/>
  <c r="G92" i="1"/>
  <c r="G93" i="1"/>
  <c r="G99" i="1"/>
  <c r="G100" i="1"/>
  <c r="G101" i="1"/>
  <c r="G102" i="1"/>
  <c r="D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2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3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3" i="1"/>
  <c r="A2" i="1"/>
  <c r="A4" i="2" l="1"/>
  <c r="C2" i="2"/>
  <c r="D2" i="2" s="1"/>
  <c r="A5" i="2" l="1"/>
  <c r="C4" i="2"/>
  <c r="D4" i="2" s="1"/>
  <c r="A6" i="2" l="1"/>
  <c r="C5" i="2"/>
  <c r="D5" i="2" s="1"/>
  <c r="C6" i="2" l="1"/>
  <c r="D6" i="2" s="1"/>
  <c r="A7" i="2"/>
  <c r="C7" i="2" l="1"/>
  <c r="D7" i="2" s="1"/>
  <c r="A8" i="2"/>
  <c r="A9" i="2" l="1"/>
  <c r="C8" i="2"/>
  <c r="D8" i="2" s="1"/>
  <c r="C9" i="2" l="1"/>
  <c r="D9" i="2" s="1"/>
  <c r="A10" i="2"/>
  <c r="A11" i="2" l="1"/>
  <c r="C10" i="2"/>
  <c r="D10" i="2" s="1"/>
  <c r="A12" i="2" l="1"/>
  <c r="C11" i="2"/>
  <c r="D11" i="2" s="1"/>
  <c r="C12" i="2" l="1"/>
  <c r="D12" i="2" s="1"/>
  <c r="A13" i="2"/>
  <c r="A14" i="2" l="1"/>
  <c r="C13" i="2"/>
  <c r="D13" i="2" s="1"/>
  <c r="A15" i="2" l="1"/>
  <c r="C14" i="2"/>
  <c r="D14" i="2" s="1"/>
  <c r="C15" i="2" l="1"/>
  <c r="D15" i="2" s="1"/>
  <c r="A16" i="2"/>
  <c r="C16" i="2" l="1"/>
  <c r="D16" i="2" s="1"/>
  <c r="A17" i="2"/>
  <c r="A18" i="2" l="1"/>
  <c r="C17" i="2"/>
  <c r="D17" i="2" s="1"/>
  <c r="C18" i="2" l="1"/>
  <c r="D18" i="2" s="1"/>
  <c r="A19" i="2"/>
  <c r="A20" i="2" l="1"/>
  <c r="C19" i="2"/>
  <c r="D19" i="2" s="1"/>
  <c r="A21" i="2" l="1"/>
  <c r="C20" i="2"/>
  <c r="D20" i="2" s="1"/>
  <c r="C21" i="2" l="1"/>
  <c r="D21" i="2" s="1"/>
  <c r="A22" i="2"/>
  <c r="A23" i="2" l="1"/>
  <c r="C22" i="2"/>
  <c r="D22" i="2" s="1"/>
  <c r="A24" i="2" l="1"/>
  <c r="C23" i="2"/>
  <c r="D23" i="2" s="1"/>
  <c r="C24" i="2" l="1"/>
  <c r="D24" i="2" s="1"/>
  <c r="A25" i="2"/>
  <c r="A26" i="2" l="1"/>
  <c r="C25" i="2"/>
  <c r="D25" i="2" s="1"/>
  <c r="A27" i="2" l="1"/>
  <c r="C26" i="2"/>
  <c r="D26" i="2" s="1"/>
  <c r="C27" i="2" l="1"/>
  <c r="D27" i="2" s="1"/>
  <c r="A28" i="2"/>
  <c r="A29" i="2" l="1"/>
  <c r="C28" i="2"/>
  <c r="D28" i="2" s="1"/>
  <c r="A30" i="2" l="1"/>
  <c r="C29" i="2"/>
  <c r="D29" i="2" s="1"/>
  <c r="C30" i="2" l="1"/>
  <c r="D30" i="2" s="1"/>
  <c r="A31" i="2"/>
  <c r="A32" i="2" l="1"/>
  <c r="C31" i="2"/>
  <c r="D31" i="2" s="1"/>
  <c r="A33" i="2" l="1"/>
  <c r="C32" i="2"/>
  <c r="D32" i="2" s="1"/>
  <c r="C33" i="2" l="1"/>
  <c r="D33" i="2" s="1"/>
  <c r="A34" i="2"/>
  <c r="C34" i="2" l="1"/>
  <c r="D34" i="2" s="1"/>
  <c r="A35" i="2"/>
  <c r="A36" i="2" l="1"/>
  <c r="C35" i="2"/>
  <c r="D35" i="2" s="1"/>
  <c r="C36" i="2" l="1"/>
  <c r="D36" i="2" s="1"/>
  <c r="A37" i="2"/>
  <c r="A38" i="2" l="1"/>
  <c r="C37" i="2"/>
  <c r="D37" i="2" s="1"/>
  <c r="A39" i="2" l="1"/>
  <c r="C38" i="2"/>
  <c r="D38" i="2" s="1"/>
  <c r="C39" i="2" l="1"/>
  <c r="D39" i="2" s="1"/>
  <c r="A40" i="2"/>
  <c r="A41" i="2" l="1"/>
  <c r="C40" i="2"/>
  <c r="D40" i="2" s="1"/>
  <c r="A42" i="2" l="1"/>
  <c r="C41" i="2"/>
  <c r="D41" i="2" s="1"/>
  <c r="C42" i="2" l="1"/>
  <c r="D42" i="2" s="1"/>
  <c r="A43" i="2"/>
  <c r="A44" i="2" l="1"/>
  <c r="C43" i="2"/>
  <c r="D43" i="2" s="1"/>
  <c r="A45" i="2" l="1"/>
  <c r="C44" i="2"/>
  <c r="D44" i="2" s="1"/>
  <c r="C45" i="2" l="1"/>
  <c r="D45" i="2" s="1"/>
  <c r="A46" i="2"/>
  <c r="A47" i="2" l="1"/>
  <c r="C46" i="2"/>
  <c r="D46" i="2" s="1"/>
  <c r="A48" i="2" l="1"/>
  <c r="C47" i="2"/>
  <c r="D47" i="2" s="1"/>
  <c r="C48" i="2" l="1"/>
  <c r="D48" i="2" s="1"/>
  <c r="A49" i="2"/>
  <c r="A50" i="2" l="1"/>
  <c r="C49" i="2"/>
  <c r="D49" i="2" s="1"/>
  <c r="A51" i="2" l="1"/>
  <c r="C50" i="2"/>
  <c r="D50" i="2" s="1"/>
  <c r="C51" i="2" l="1"/>
  <c r="D51" i="2" s="1"/>
  <c r="A52" i="2"/>
  <c r="A53" i="2" l="1"/>
  <c r="C52" i="2"/>
  <c r="D52" i="2" s="1"/>
  <c r="A54" i="2" l="1"/>
  <c r="C53" i="2"/>
  <c r="D53" i="2" s="1"/>
  <c r="C54" i="2" l="1"/>
  <c r="D54" i="2" s="1"/>
  <c r="A55" i="2"/>
  <c r="C55" i="2" l="1"/>
  <c r="D55" i="2" s="1"/>
  <c r="A56" i="2"/>
  <c r="A57" i="2" l="1"/>
  <c r="C56" i="2"/>
  <c r="D56" i="2" s="1"/>
  <c r="C57" i="2" l="1"/>
  <c r="D57" i="2" s="1"/>
  <c r="A58" i="2"/>
  <c r="C58" i="2" l="1"/>
  <c r="D58" i="2" s="1"/>
  <c r="A59" i="2"/>
  <c r="A60" i="2" l="1"/>
  <c r="C59" i="2"/>
  <c r="D59" i="2" s="1"/>
  <c r="C60" i="2" l="1"/>
  <c r="D60" i="2" s="1"/>
  <c r="A61" i="2"/>
  <c r="A62" i="2" l="1"/>
  <c r="C61" i="2"/>
  <c r="D61" i="2" s="1"/>
  <c r="A63" i="2" l="1"/>
  <c r="C62" i="2"/>
  <c r="D62" i="2" s="1"/>
  <c r="C63" i="2" l="1"/>
  <c r="D63" i="2" s="1"/>
  <c r="A64" i="2"/>
  <c r="A65" i="2" l="1"/>
  <c r="C64" i="2"/>
  <c r="D64" i="2" s="1"/>
  <c r="A66" i="2" l="1"/>
  <c r="C65" i="2"/>
  <c r="D65" i="2" s="1"/>
  <c r="C66" i="2" l="1"/>
  <c r="D66" i="2" s="1"/>
  <c r="A67" i="2"/>
  <c r="A68" i="2" l="1"/>
  <c r="C67" i="2"/>
  <c r="D67" i="2" s="1"/>
  <c r="A69" i="2" l="1"/>
  <c r="C68" i="2"/>
  <c r="D68" i="2" s="1"/>
  <c r="C69" i="2" l="1"/>
  <c r="D69" i="2" s="1"/>
  <c r="A70" i="2"/>
  <c r="A71" i="2" l="1"/>
  <c r="C70" i="2"/>
  <c r="D70" i="2" s="1"/>
  <c r="A72" i="2" l="1"/>
  <c r="C71" i="2"/>
  <c r="D71" i="2" s="1"/>
  <c r="C72" i="2" l="1"/>
  <c r="D72" i="2" s="1"/>
  <c r="A73" i="2"/>
  <c r="A74" i="2" l="1"/>
  <c r="C73" i="2"/>
  <c r="D73" i="2" s="1"/>
  <c r="A75" i="2" l="1"/>
  <c r="C74" i="2"/>
  <c r="D74" i="2" s="1"/>
  <c r="C75" i="2" l="1"/>
  <c r="D75" i="2" s="1"/>
  <c r="A76" i="2"/>
  <c r="C76" i="2" l="1"/>
  <c r="D76" i="2" s="1"/>
  <c r="A77" i="2"/>
  <c r="A78" i="2" l="1"/>
  <c r="C77" i="2"/>
  <c r="D77" i="2" s="1"/>
  <c r="C78" i="2" l="1"/>
  <c r="D78" i="2" s="1"/>
  <c r="A79" i="2"/>
  <c r="C79" i="2" l="1"/>
  <c r="D79" i="2" s="1"/>
  <c r="A80" i="2"/>
  <c r="A81" i="2" l="1"/>
  <c r="C80" i="2"/>
  <c r="D80" i="2" s="1"/>
  <c r="C81" i="2" l="1"/>
  <c r="D81" i="2" s="1"/>
  <c r="A82" i="2"/>
  <c r="A83" i="2" l="1"/>
  <c r="C82" i="2"/>
  <c r="D82" i="2" s="1"/>
  <c r="A84" i="2" l="1"/>
  <c r="C83" i="2"/>
  <c r="D83" i="2" s="1"/>
  <c r="C84" i="2" l="1"/>
  <c r="D84" i="2" s="1"/>
  <c r="A85" i="2"/>
  <c r="A86" i="2" l="1"/>
  <c r="C85" i="2"/>
  <c r="D85" i="2" s="1"/>
  <c r="A87" i="2" l="1"/>
  <c r="C86" i="2"/>
  <c r="D86" i="2" s="1"/>
  <c r="C87" i="2" l="1"/>
  <c r="D87" i="2" s="1"/>
  <c r="A88" i="2"/>
  <c r="A89" i="2" l="1"/>
  <c r="C88" i="2"/>
  <c r="D88" i="2" s="1"/>
  <c r="A90" i="2" l="1"/>
  <c r="C89" i="2"/>
  <c r="D89" i="2" s="1"/>
  <c r="C90" i="2" l="1"/>
  <c r="D90" i="2" s="1"/>
  <c r="A91" i="2"/>
  <c r="A92" i="2" l="1"/>
  <c r="C91" i="2"/>
  <c r="D91" i="2" s="1"/>
  <c r="A93" i="2" l="1"/>
  <c r="C92" i="2"/>
  <c r="D92" i="2" s="1"/>
  <c r="C93" i="2" l="1"/>
  <c r="D93" i="2" s="1"/>
  <c r="A94" i="2"/>
  <c r="C94" i="2" l="1"/>
  <c r="D94" i="2" s="1"/>
  <c r="A95" i="2"/>
  <c r="A96" i="2" l="1"/>
  <c r="C95" i="2"/>
  <c r="D95" i="2" s="1"/>
  <c r="C96" i="2" l="1"/>
  <c r="D96" i="2" s="1"/>
  <c r="A97" i="2"/>
  <c r="A98" i="2" l="1"/>
  <c r="C97" i="2"/>
  <c r="D97" i="2" s="1"/>
  <c r="A99" i="2" l="1"/>
  <c r="C98" i="2"/>
  <c r="D98" i="2" s="1"/>
  <c r="C99" i="2" l="1"/>
  <c r="D99" i="2" s="1"/>
  <c r="A100" i="2"/>
  <c r="A101" i="2" l="1"/>
  <c r="C100" i="2"/>
  <c r="D100" i="2" s="1"/>
  <c r="A102" i="2" l="1"/>
  <c r="C102" i="2" s="1"/>
  <c r="D102" i="2" s="1"/>
  <c r="C101" i="2"/>
  <c r="D101" i="2" s="1"/>
</calcChain>
</file>

<file path=xl/sharedStrings.xml><?xml version="1.0" encoding="utf-8"?>
<sst xmlns="http://schemas.openxmlformats.org/spreadsheetml/2006/main" count="15" uniqueCount="8">
  <si>
    <t>t</t>
  </si>
  <si>
    <t>n</t>
  </si>
  <si>
    <t>arg00</t>
  </si>
  <si>
    <t>arg01</t>
  </si>
  <si>
    <t>x[n]</t>
  </si>
  <si>
    <t>x[n-n0]</t>
  </si>
  <si>
    <t>n-n0</t>
  </si>
  <si>
    <t>arg02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</si>
</sst>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x[n] vs x[n-n0]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despDerecha!$D$1</c:f>
              <c:strCache>
                <c:ptCount val="1"/>
                <c:pt idx="0">
                  <c:v>x[n]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despDerecha!$A$2:$A$102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despDerecha!$D$2:$D$102</c:f>
              <c:numCache>
                <c:formatCode>General</c:formatCode>
                <c:ptCount val="101"/>
                <c:pt idx="0">
                  <c:v>0</c:v>
                </c:pt>
                <c:pt idx="1">
                  <c:v>1.2043841852542883</c:v>
                </c:pt>
                <c:pt idx="2">
                  <c:v>2.1108198137550378</c:v>
                </c:pt>
                <c:pt idx="3">
                  <c:v>2.495066821070679</c:v>
                </c:pt>
                <c:pt idx="4">
                  <c:v>2.2620676311650487</c:v>
                </c:pt>
                <c:pt idx="5">
                  <c:v>1.4694631307311832</c:v>
                </c:pt>
                <c:pt idx="6">
                  <c:v>0.3133330839107602</c:v>
                </c:pt>
                <c:pt idx="7">
                  <c:v>-0.9203113817116958</c:v>
                </c:pt>
                <c:pt idx="8">
                  <c:v>-1.9262831069394735</c:v>
                </c:pt>
                <c:pt idx="9">
                  <c:v>-2.4557181268217216</c:v>
                </c:pt>
                <c:pt idx="10">
                  <c:v>-2.3776412907378841</c:v>
                </c:pt>
                <c:pt idx="11">
                  <c:v>-1.711367764821724</c:v>
                </c:pt>
                <c:pt idx="12">
                  <c:v>-0.62172471791214057</c:v>
                </c:pt>
                <c:pt idx="13">
                  <c:v>0.62172471791213291</c:v>
                </c:pt>
                <c:pt idx="14">
                  <c:v>1.7113677648217198</c:v>
                </c:pt>
                <c:pt idx="15">
                  <c:v>2.3776412907378837</c:v>
                </c:pt>
                <c:pt idx="16">
                  <c:v>2.4557181268217216</c:v>
                </c:pt>
                <c:pt idx="17">
                  <c:v>1.9262831069394715</c:v>
                </c:pt>
                <c:pt idx="18">
                  <c:v>0.92031138171169491</c:v>
                </c:pt>
                <c:pt idx="19">
                  <c:v>-0.31333308391076231</c:v>
                </c:pt>
                <c:pt idx="20">
                  <c:v>-1.4694631307311856</c:v>
                </c:pt>
                <c:pt idx="21">
                  <c:v>-2.2620676311650509</c:v>
                </c:pt>
                <c:pt idx="22">
                  <c:v>-2.4950668210706786</c:v>
                </c:pt>
                <c:pt idx="23">
                  <c:v>-2.1108198137550329</c:v>
                </c:pt>
                <c:pt idx="24">
                  <c:v>-1.2043841852542791</c:v>
                </c:pt>
                <c:pt idx="25">
                  <c:v>7.6566357420926323E-15</c:v>
                </c:pt>
                <c:pt idx="26">
                  <c:v>1.2043841852542925</c:v>
                </c:pt>
                <c:pt idx="27">
                  <c:v>2.1108198137550414</c:v>
                </c:pt>
                <c:pt idx="28">
                  <c:v>2.4950668210706795</c:v>
                </c:pt>
                <c:pt idx="29">
                  <c:v>2.2620676311650447</c:v>
                </c:pt>
                <c:pt idx="30">
                  <c:v>1.4694631307311732</c:v>
                </c:pt>
                <c:pt idx="31">
                  <c:v>0.3133330839107471</c:v>
                </c:pt>
                <c:pt idx="32">
                  <c:v>-0.92031138171170501</c:v>
                </c:pt>
                <c:pt idx="33">
                  <c:v>-1.9262831069394812</c:v>
                </c:pt>
                <c:pt idx="34">
                  <c:v>-2.4557181268217243</c:v>
                </c:pt>
                <c:pt idx="35">
                  <c:v>-2.3776412907378792</c:v>
                </c:pt>
                <c:pt idx="36">
                  <c:v>-1.7113677648217087</c:v>
                </c:pt>
                <c:pt idx="37">
                  <c:v>-0.62172471791211814</c:v>
                </c:pt>
                <c:pt idx="38">
                  <c:v>0.62172471791215755</c:v>
                </c:pt>
                <c:pt idx="39">
                  <c:v>1.7113677648217385</c:v>
                </c:pt>
                <c:pt idx="40">
                  <c:v>2.3776412907378917</c:v>
                </c:pt>
                <c:pt idx="41">
                  <c:v>2.4557181268217168</c:v>
                </c:pt>
                <c:pt idx="42">
                  <c:v>1.926283106939455</c:v>
                </c:pt>
                <c:pt idx="43">
                  <c:v>0.92031138171167537</c:v>
                </c:pt>
                <c:pt idx="44">
                  <c:v>-0.31333308391078313</c:v>
                </c:pt>
                <c:pt idx="45">
                  <c:v>-1.4694631307312025</c:v>
                </c:pt>
                <c:pt idx="46">
                  <c:v>-2.2620676311650598</c:v>
                </c:pt>
                <c:pt idx="47">
                  <c:v>-2.4950668210706772</c:v>
                </c:pt>
                <c:pt idx="48">
                  <c:v>-2.1108198137550218</c:v>
                </c:pt>
                <c:pt idx="49">
                  <c:v>-1.2043841852542607</c:v>
                </c:pt>
                <c:pt idx="50">
                  <c:v>2.4195055681186517E-14</c:v>
                </c:pt>
                <c:pt idx="51">
                  <c:v>1.2043841852543109</c:v>
                </c:pt>
                <c:pt idx="52">
                  <c:v>2.1108198137550525</c:v>
                </c:pt>
                <c:pt idx="53">
                  <c:v>2.4950668210706808</c:v>
                </c:pt>
                <c:pt idx="54">
                  <c:v>2.2620676311650358</c:v>
                </c:pt>
                <c:pt idx="55">
                  <c:v>1.4694631307311563</c:v>
                </c:pt>
                <c:pt idx="56">
                  <c:v>0.31333308391072628</c:v>
                </c:pt>
                <c:pt idx="57">
                  <c:v>-0.92031138171172866</c:v>
                </c:pt>
                <c:pt idx="58">
                  <c:v>-1.9262831069394972</c:v>
                </c:pt>
                <c:pt idx="59">
                  <c:v>-2.4557181268217274</c:v>
                </c:pt>
                <c:pt idx="60">
                  <c:v>-2.3776412907378739</c:v>
                </c:pt>
                <c:pt idx="61">
                  <c:v>-1.7113677648216965</c:v>
                </c:pt>
                <c:pt idx="62">
                  <c:v>-0.62172471791210204</c:v>
                </c:pt>
                <c:pt idx="63">
                  <c:v>0.62172471791217354</c:v>
                </c:pt>
                <c:pt idx="64">
                  <c:v>1.7113677648217505</c:v>
                </c:pt>
                <c:pt idx="65">
                  <c:v>2.3776412907378992</c:v>
                </c:pt>
                <c:pt idx="66">
                  <c:v>2.4557181268217136</c:v>
                </c:pt>
                <c:pt idx="67">
                  <c:v>1.9262831069394504</c:v>
                </c:pt>
                <c:pt idx="68">
                  <c:v>0.92031138171165172</c:v>
                </c:pt>
                <c:pt idx="69">
                  <c:v>-0.31333308391079956</c:v>
                </c:pt>
                <c:pt idx="70">
                  <c:v>-1.4694631307312231</c:v>
                </c:pt>
                <c:pt idx="71">
                  <c:v>-2.2620676311650669</c:v>
                </c:pt>
                <c:pt idx="72">
                  <c:v>-2.4950668210706755</c:v>
                </c:pt>
                <c:pt idx="73">
                  <c:v>-2.1108198137550129</c:v>
                </c:pt>
                <c:pt idx="74">
                  <c:v>-1.2043841852542385</c:v>
                </c:pt>
                <c:pt idx="75">
                  <c:v>4.9615259817281654E-14</c:v>
                </c:pt>
                <c:pt idx="76">
                  <c:v>1.2043841852543409</c:v>
                </c:pt>
                <c:pt idx="77">
                  <c:v>2.1108198137550662</c:v>
                </c:pt>
                <c:pt idx="78">
                  <c:v>2.495066821070683</c:v>
                </c:pt>
                <c:pt idx="79">
                  <c:v>2.2620676311650247</c:v>
                </c:pt>
                <c:pt idx="80">
                  <c:v>1.469463130731143</c:v>
                </c:pt>
                <c:pt idx="81">
                  <c:v>0.31333308391070114</c:v>
                </c:pt>
                <c:pt idx="82">
                  <c:v>-0.92031138171174409</c:v>
                </c:pt>
                <c:pt idx="83">
                  <c:v>-1.9262831069395134</c:v>
                </c:pt>
                <c:pt idx="84">
                  <c:v>-2.4557181268217323</c:v>
                </c:pt>
                <c:pt idx="85">
                  <c:v>-2.3776412907378632</c:v>
                </c:pt>
                <c:pt idx="86">
                  <c:v>-1.7113677648216783</c:v>
                </c:pt>
                <c:pt idx="87">
                  <c:v>-0.62172471791206885</c:v>
                </c:pt>
                <c:pt idx="88">
                  <c:v>0.62172471791219819</c:v>
                </c:pt>
                <c:pt idx="89">
                  <c:v>1.7113677648217753</c:v>
                </c:pt>
                <c:pt idx="90">
                  <c:v>2.3776412907379045</c:v>
                </c:pt>
                <c:pt idx="91">
                  <c:v>2.455718126821707</c:v>
                </c:pt>
                <c:pt idx="92">
                  <c:v>1.9262831069394284</c:v>
                </c:pt>
                <c:pt idx="93">
                  <c:v>0.9203113817116364</c:v>
                </c:pt>
                <c:pt idx="94">
                  <c:v>-0.31333308391083359</c:v>
                </c:pt>
                <c:pt idx="95">
                  <c:v>-1.4694631307312365</c:v>
                </c:pt>
                <c:pt idx="96">
                  <c:v>-2.2620676311650816</c:v>
                </c:pt>
                <c:pt idx="97">
                  <c:v>-2.4950668210706746</c:v>
                </c:pt>
                <c:pt idx="98">
                  <c:v>-2.1108198137549947</c:v>
                </c:pt>
                <c:pt idx="99">
                  <c:v>-1.2043841852542239</c:v>
                </c:pt>
                <c:pt idx="100">
                  <c:v>8.3917248150378043E-14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15-4661-934E-3CB3695DFCC0}"/>
            </c:ext>
          </c:extLst>
        </c:ser>
        <c:ser>
          <c:idx val="1"/>
          <c:order val="1"/>
          <c:tx>
            <c:strRef>
              <c:f>despDerecha!$G$1</c:f>
              <c:strCache>
                <c:ptCount val="1"/>
                <c:pt idx="0">
                  <c:v>x[n-n0]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despDerecha!$A$2:$A$102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despDerecha!$G$2:$G$102</c:f>
              <c:numCache>
                <c:formatCode>General</c:formatCode>
                <c:ptCount val="101"/>
                <c:pt idx="0">
                  <c:v>-2.495066821070679</c:v>
                </c:pt>
                <c:pt idx="1">
                  <c:v>-2.1108198137550374</c:v>
                </c:pt>
                <c:pt idx="2">
                  <c:v>-1.204384185254288</c:v>
                </c:pt>
                <c:pt idx="3">
                  <c:v>0</c:v>
                </c:pt>
                <c:pt idx="4">
                  <c:v>1.2043841852542883</c:v>
                </c:pt>
                <c:pt idx="5">
                  <c:v>2.1108198137550378</c:v>
                </c:pt>
                <c:pt idx="6">
                  <c:v>2.495066821070679</c:v>
                </c:pt>
                <c:pt idx="7">
                  <c:v>2.2620676311650487</c:v>
                </c:pt>
                <c:pt idx="8">
                  <c:v>1.4694631307311832</c:v>
                </c:pt>
                <c:pt idx="9">
                  <c:v>0.31333308391076131</c:v>
                </c:pt>
                <c:pt idx="10">
                  <c:v>-0.92031138171169369</c:v>
                </c:pt>
                <c:pt idx="11">
                  <c:v>-1.9262831069394721</c:v>
                </c:pt>
                <c:pt idx="12">
                  <c:v>-2.4557181268217212</c:v>
                </c:pt>
                <c:pt idx="13">
                  <c:v>-2.3776412907378845</c:v>
                </c:pt>
                <c:pt idx="14">
                  <c:v>-1.711367764821724</c:v>
                </c:pt>
                <c:pt idx="15">
                  <c:v>-0.62172471791213835</c:v>
                </c:pt>
                <c:pt idx="16">
                  <c:v>0.62172471791213724</c:v>
                </c:pt>
                <c:pt idx="17">
                  <c:v>1.7113677648217231</c:v>
                </c:pt>
                <c:pt idx="18">
                  <c:v>2.3776412907378845</c:v>
                </c:pt>
                <c:pt idx="19">
                  <c:v>2.4557181268217216</c:v>
                </c:pt>
                <c:pt idx="20">
                  <c:v>1.9262831069394715</c:v>
                </c:pt>
                <c:pt idx="21">
                  <c:v>0.9203113817116908</c:v>
                </c:pt>
                <c:pt idx="22">
                  <c:v>-0.31333308391076675</c:v>
                </c:pt>
                <c:pt idx="23">
                  <c:v>-1.4694631307311892</c:v>
                </c:pt>
                <c:pt idx="24">
                  <c:v>-2.2620676311650527</c:v>
                </c:pt>
                <c:pt idx="25">
                  <c:v>-2.4950668210706786</c:v>
                </c:pt>
                <c:pt idx="26">
                  <c:v>-2.1108198137550329</c:v>
                </c:pt>
                <c:pt idx="27">
                  <c:v>-1.2043841852542791</c:v>
                </c:pt>
                <c:pt idx="28">
                  <c:v>1.2097527840593258E-14</c:v>
                </c:pt>
                <c:pt idx="29">
                  <c:v>1.2043841852543002</c:v>
                </c:pt>
                <c:pt idx="30">
                  <c:v>2.1108198137550458</c:v>
                </c:pt>
                <c:pt idx="31">
                  <c:v>2.4950668210706799</c:v>
                </c:pt>
                <c:pt idx="32">
                  <c:v>2.2620676311650407</c:v>
                </c:pt>
                <c:pt idx="33">
                  <c:v>1.4694631307311696</c:v>
                </c:pt>
                <c:pt idx="34">
                  <c:v>0.31333308391074277</c:v>
                </c:pt>
                <c:pt idx="35">
                  <c:v>-0.92031138171171323</c:v>
                </c:pt>
                <c:pt idx="36">
                  <c:v>-1.9262831069394868</c:v>
                </c:pt>
                <c:pt idx="37">
                  <c:v>-2.4557181268217261</c:v>
                </c:pt>
                <c:pt idx="38">
                  <c:v>-2.3776412907378761</c:v>
                </c:pt>
                <c:pt idx="39">
                  <c:v>-1.7113677648217025</c:v>
                </c:pt>
                <c:pt idx="40">
                  <c:v>-0.62172471791210948</c:v>
                </c:pt>
                <c:pt idx="41">
                  <c:v>0.6217247179121661</c:v>
                </c:pt>
                <c:pt idx="42">
                  <c:v>1.7113677648217449</c:v>
                </c:pt>
                <c:pt idx="43">
                  <c:v>2.3776412907378917</c:v>
                </c:pt>
                <c:pt idx="44">
                  <c:v>2.4557181268217168</c:v>
                </c:pt>
                <c:pt idx="45">
                  <c:v>1.926283106939455</c:v>
                </c:pt>
                <c:pt idx="46">
                  <c:v>0.92031138171166715</c:v>
                </c:pt>
                <c:pt idx="47">
                  <c:v>-0.31333308391079195</c:v>
                </c:pt>
                <c:pt idx="48">
                  <c:v>-1.4694631307312098</c:v>
                </c:pt>
                <c:pt idx="49">
                  <c:v>-2.2620676311650638</c:v>
                </c:pt>
                <c:pt idx="50">
                  <c:v>-2.4950668210706777</c:v>
                </c:pt>
                <c:pt idx="51">
                  <c:v>-2.1108198137550267</c:v>
                </c:pt>
                <c:pt idx="52">
                  <c:v>-1.2043841852542685</c:v>
                </c:pt>
                <c:pt idx="53">
                  <c:v>2.4195055681186517E-14</c:v>
                </c:pt>
                <c:pt idx="54">
                  <c:v>1.2043841852543109</c:v>
                </c:pt>
                <c:pt idx="55">
                  <c:v>2.1108198137550525</c:v>
                </c:pt>
                <c:pt idx="56">
                  <c:v>2.4950668210706808</c:v>
                </c:pt>
                <c:pt idx="57">
                  <c:v>2.2620676311650358</c:v>
                </c:pt>
                <c:pt idx="58">
                  <c:v>1.4694631307311563</c:v>
                </c:pt>
                <c:pt idx="59">
                  <c:v>0.31333308391072628</c:v>
                </c:pt>
                <c:pt idx="60">
                  <c:v>-0.92031138171172866</c:v>
                </c:pt>
                <c:pt idx="61">
                  <c:v>-1.9262831069394972</c:v>
                </c:pt>
                <c:pt idx="62">
                  <c:v>-2.4557181268217274</c:v>
                </c:pt>
                <c:pt idx="63">
                  <c:v>-2.3776412907378739</c:v>
                </c:pt>
                <c:pt idx="64">
                  <c:v>-1.7113677648216965</c:v>
                </c:pt>
                <c:pt idx="65">
                  <c:v>-0.62172471791210204</c:v>
                </c:pt>
                <c:pt idx="66">
                  <c:v>0.62172471791217354</c:v>
                </c:pt>
                <c:pt idx="67">
                  <c:v>1.7113677648217505</c:v>
                </c:pt>
                <c:pt idx="68">
                  <c:v>2.3776412907378992</c:v>
                </c:pt>
                <c:pt idx="69">
                  <c:v>2.4557181268217136</c:v>
                </c:pt>
                <c:pt idx="70">
                  <c:v>1.9262831069394504</c:v>
                </c:pt>
                <c:pt idx="71">
                  <c:v>0.92031138171165172</c:v>
                </c:pt>
                <c:pt idx="72">
                  <c:v>-0.31333308391079956</c:v>
                </c:pt>
                <c:pt idx="73">
                  <c:v>-1.4694631307312231</c:v>
                </c:pt>
                <c:pt idx="74">
                  <c:v>-2.2620676311650669</c:v>
                </c:pt>
                <c:pt idx="75">
                  <c:v>-2.4950668210706755</c:v>
                </c:pt>
                <c:pt idx="76">
                  <c:v>-2.1108198137550129</c:v>
                </c:pt>
                <c:pt idx="77">
                  <c:v>-1.2043841852542385</c:v>
                </c:pt>
                <c:pt idx="78">
                  <c:v>4.9615259817281654E-14</c:v>
                </c:pt>
                <c:pt idx="79">
                  <c:v>1.2043841852543409</c:v>
                </c:pt>
                <c:pt idx="80">
                  <c:v>2.1108198137550662</c:v>
                </c:pt>
                <c:pt idx="81">
                  <c:v>2.495066821070683</c:v>
                </c:pt>
                <c:pt idx="82">
                  <c:v>2.2620676311650247</c:v>
                </c:pt>
                <c:pt idx="83">
                  <c:v>1.469463130731143</c:v>
                </c:pt>
                <c:pt idx="84">
                  <c:v>0.31333308391070114</c:v>
                </c:pt>
                <c:pt idx="85">
                  <c:v>-0.92031138171174409</c:v>
                </c:pt>
                <c:pt idx="86">
                  <c:v>-1.9262831069395134</c:v>
                </c:pt>
                <c:pt idx="87">
                  <c:v>-2.4557181268217323</c:v>
                </c:pt>
                <c:pt idx="88">
                  <c:v>-2.3776412907378632</c:v>
                </c:pt>
                <c:pt idx="89">
                  <c:v>-1.7113677648216783</c:v>
                </c:pt>
                <c:pt idx="90">
                  <c:v>-0.62172471791206885</c:v>
                </c:pt>
                <c:pt idx="91">
                  <c:v>0.62172471791219819</c:v>
                </c:pt>
                <c:pt idx="92">
                  <c:v>1.7113677648217753</c:v>
                </c:pt>
                <c:pt idx="93">
                  <c:v>2.3776412907379045</c:v>
                </c:pt>
                <c:pt idx="94">
                  <c:v>2.455718126821707</c:v>
                </c:pt>
                <c:pt idx="95">
                  <c:v>1.9262831069394284</c:v>
                </c:pt>
                <c:pt idx="96">
                  <c:v>0.9203113817116364</c:v>
                </c:pt>
                <c:pt idx="97">
                  <c:v>-0.31333308391083359</c:v>
                </c:pt>
                <c:pt idx="98">
                  <c:v>-1.4694631307312365</c:v>
                </c:pt>
                <c:pt idx="99">
                  <c:v>-2.2620676311650816</c:v>
                </c:pt>
                <c:pt idx="100">
                  <c:v>-2.4950668210706746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15-4661-934E-3CB3695DF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139727"/>
        <c:axId val="1137141647"/>
      </c:scatterChart>
      <c:valAx>
        <c:axId val="11371397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141647"/>
        <c:crosses val="autoZero"/>
        <c:crossBetween val="midCat"/>
      </c:valAx>
      <c:valAx>
        <c:axId val="11371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13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x[n] vs x[n-n0]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despIzquierda!$D$1</c:f>
              <c:strCache>
                <c:ptCount val="1"/>
                <c:pt idx="0">
                  <c:v>x[n]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despIzquierda!$A$2:$A$102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despIzquierda!$D$2:$D$102</c:f>
              <c:numCache>
                <c:formatCode>General</c:formatCode>
                <c:ptCount val="101"/>
                <c:pt idx="0">
                  <c:v>0</c:v>
                </c:pt>
                <c:pt idx="1">
                  <c:v>1.2043841852542883</c:v>
                </c:pt>
                <c:pt idx="2">
                  <c:v>2.1108198137550378</c:v>
                </c:pt>
                <c:pt idx="3">
                  <c:v>2.495066821070679</c:v>
                </c:pt>
                <c:pt idx="4">
                  <c:v>2.2620676311650487</c:v>
                </c:pt>
                <c:pt idx="5">
                  <c:v>1.4694631307311832</c:v>
                </c:pt>
                <c:pt idx="6">
                  <c:v>0.3133330839107602</c:v>
                </c:pt>
                <c:pt idx="7">
                  <c:v>-0.9203113817116958</c:v>
                </c:pt>
                <c:pt idx="8">
                  <c:v>-1.9262831069394735</c:v>
                </c:pt>
                <c:pt idx="9">
                  <c:v>-2.4557181268217216</c:v>
                </c:pt>
                <c:pt idx="10">
                  <c:v>-2.3776412907378841</c:v>
                </c:pt>
                <c:pt idx="11">
                  <c:v>-1.711367764821724</c:v>
                </c:pt>
                <c:pt idx="12">
                  <c:v>-0.62172471791214057</c:v>
                </c:pt>
                <c:pt idx="13">
                  <c:v>0.62172471791213291</c:v>
                </c:pt>
                <c:pt idx="14">
                  <c:v>1.7113677648217198</c:v>
                </c:pt>
                <c:pt idx="15">
                  <c:v>2.3776412907378837</c:v>
                </c:pt>
                <c:pt idx="16">
                  <c:v>2.4557181268217216</c:v>
                </c:pt>
                <c:pt idx="17">
                  <c:v>1.9262831069394715</c:v>
                </c:pt>
                <c:pt idx="18">
                  <c:v>0.92031138171169491</c:v>
                </c:pt>
                <c:pt idx="19">
                  <c:v>-0.31333308391076231</c:v>
                </c:pt>
                <c:pt idx="20">
                  <c:v>-1.4694631307311856</c:v>
                </c:pt>
                <c:pt idx="21">
                  <c:v>-2.2620676311650509</c:v>
                </c:pt>
                <c:pt idx="22">
                  <c:v>-2.4950668210706786</c:v>
                </c:pt>
                <c:pt idx="23">
                  <c:v>-2.1108198137550329</c:v>
                </c:pt>
                <c:pt idx="24">
                  <c:v>-1.2043841852542791</c:v>
                </c:pt>
                <c:pt idx="25">
                  <c:v>7.6566357420926323E-15</c:v>
                </c:pt>
                <c:pt idx="26">
                  <c:v>1.2043841852542925</c:v>
                </c:pt>
                <c:pt idx="27">
                  <c:v>2.1108198137550414</c:v>
                </c:pt>
                <c:pt idx="28">
                  <c:v>2.4950668210706795</c:v>
                </c:pt>
                <c:pt idx="29">
                  <c:v>2.2620676311650447</c:v>
                </c:pt>
                <c:pt idx="30">
                  <c:v>1.4694631307311732</c:v>
                </c:pt>
                <c:pt idx="31">
                  <c:v>0.3133330839107471</c:v>
                </c:pt>
                <c:pt idx="32">
                  <c:v>-0.92031138171170501</c:v>
                </c:pt>
                <c:pt idx="33">
                  <c:v>-1.9262831069394812</c:v>
                </c:pt>
                <c:pt idx="34">
                  <c:v>-2.4557181268217243</c:v>
                </c:pt>
                <c:pt idx="35">
                  <c:v>-2.3776412907378792</c:v>
                </c:pt>
                <c:pt idx="36">
                  <c:v>-1.7113677648217087</c:v>
                </c:pt>
                <c:pt idx="37">
                  <c:v>-0.62172471791211814</c:v>
                </c:pt>
                <c:pt idx="38">
                  <c:v>0.62172471791215755</c:v>
                </c:pt>
                <c:pt idx="39">
                  <c:v>1.7113677648217385</c:v>
                </c:pt>
                <c:pt idx="40">
                  <c:v>2.3776412907378917</c:v>
                </c:pt>
                <c:pt idx="41">
                  <c:v>2.4557181268217168</c:v>
                </c:pt>
                <c:pt idx="42">
                  <c:v>1.926283106939455</c:v>
                </c:pt>
                <c:pt idx="43">
                  <c:v>0.92031138171167537</c:v>
                </c:pt>
                <c:pt idx="44">
                  <c:v>-0.31333308391078313</c:v>
                </c:pt>
                <c:pt idx="45">
                  <c:v>-1.4694631307312025</c:v>
                </c:pt>
                <c:pt idx="46">
                  <c:v>-2.2620676311650598</c:v>
                </c:pt>
                <c:pt idx="47">
                  <c:v>-2.4950668210706772</c:v>
                </c:pt>
                <c:pt idx="48">
                  <c:v>-2.1108198137550218</c:v>
                </c:pt>
                <c:pt idx="49">
                  <c:v>-1.2043841852542607</c:v>
                </c:pt>
                <c:pt idx="50">
                  <c:v>2.4195055681186517E-14</c:v>
                </c:pt>
                <c:pt idx="51">
                  <c:v>1.2043841852543109</c:v>
                </c:pt>
                <c:pt idx="52">
                  <c:v>2.1108198137550525</c:v>
                </c:pt>
                <c:pt idx="53">
                  <c:v>2.4950668210706808</c:v>
                </c:pt>
                <c:pt idx="54">
                  <c:v>2.2620676311650358</c:v>
                </c:pt>
                <c:pt idx="55">
                  <c:v>1.4694631307311563</c:v>
                </c:pt>
                <c:pt idx="56">
                  <c:v>0.31333308391072628</c:v>
                </c:pt>
                <c:pt idx="57">
                  <c:v>-0.92031138171172866</c:v>
                </c:pt>
                <c:pt idx="58">
                  <c:v>-1.9262831069394972</c:v>
                </c:pt>
                <c:pt idx="59">
                  <c:v>-2.4557181268217274</c:v>
                </c:pt>
                <c:pt idx="60">
                  <c:v>-2.3776412907378739</c:v>
                </c:pt>
                <c:pt idx="61">
                  <c:v>-1.7113677648216965</c:v>
                </c:pt>
                <c:pt idx="62">
                  <c:v>-0.62172471791210204</c:v>
                </c:pt>
                <c:pt idx="63">
                  <c:v>0.62172471791217354</c:v>
                </c:pt>
                <c:pt idx="64">
                  <c:v>1.7113677648217505</c:v>
                </c:pt>
                <c:pt idx="65">
                  <c:v>2.3776412907378992</c:v>
                </c:pt>
                <c:pt idx="66">
                  <c:v>2.4557181268217136</c:v>
                </c:pt>
                <c:pt idx="67">
                  <c:v>1.9262831069394504</c:v>
                </c:pt>
                <c:pt idx="68">
                  <c:v>0.92031138171165172</c:v>
                </c:pt>
                <c:pt idx="69">
                  <c:v>-0.31333308391079956</c:v>
                </c:pt>
                <c:pt idx="70">
                  <c:v>-1.4694631307312231</c:v>
                </c:pt>
                <c:pt idx="71">
                  <c:v>-2.2620676311650669</c:v>
                </c:pt>
                <c:pt idx="72">
                  <c:v>-2.4950668210706755</c:v>
                </c:pt>
                <c:pt idx="73">
                  <c:v>-2.1108198137550129</c:v>
                </c:pt>
                <c:pt idx="74">
                  <c:v>-1.2043841852542385</c:v>
                </c:pt>
                <c:pt idx="75">
                  <c:v>4.9615259817281654E-14</c:v>
                </c:pt>
                <c:pt idx="76">
                  <c:v>1.2043841852543409</c:v>
                </c:pt>
                <c:pt idx="77">
                  <c:v>2.1108198137550662</c:v>
                </c:pt>
                <c:pt idx="78">
                  <c:v>2.495066821070683</c:v>
                </c:pt>
                <c:pt idx="79">
                  <c:v>2.2620676311650247</c:v>
                </c:pt>
                <c:pt idx="80">
                  <c:v>1.469463130731143</c:v>
                </c:pt>
                <c:pt idx="81">
                  <c:v>0.31333308391070114</c:v>
                </c:pt>
                <c:pt idx="82">
                  <c:v>-0.92031138171174409</c:v>
                </c:pt>
                <c:pt idx="83">
                  <c:v>-1.9262831069395134</c:v>
                </c:pt>
                <c:pt idx="84">
                  <c:v>-2.4557181268217323</c:v>
                </c:pt>
                <c:pt idx="85">
                  <c:v>-2.3776412907378632</c:v>
                </c:pt>
                <c:pt idx="86">
                  <c:v>-1.7113677648216783</c:v>
                </c:pt>
                <c:pt idx="87">
                  <c:v>-0.62172471791206885</c:v>
                </c:pt>
                <c:pt idx="88">
                  <c:v>0.62172471791219819</c:v>
                </c:pt>
                <c:pt idx="89">
                  <c:v>1.7113677648217753</c:v>
                </c:pt>
                <c:pt idx="90">
                  <c:v>2.3776412907379045</c:v>
                </c:pt>
                <c:pt idx="91">
                  <c:v>2.455718126821707</c:v>
                </c:pt>
                <c:pt idx="92">
                  <c:v>1.9262831069394284</c:v>
                </c:pt>
                <c:pt idx="93">
                  <c:v>0.9203113817116364</c:v>
                </c:pt>
                <c:pt idx="94">
                  <c:v>-0.31333308391083359</c:v>
                </c:pt>
                <c:pt idx="95">
                  <c:v>-1.4694631307312365</c:v>
                </c:pt>
                <c:pt idx="96">
                  <c:v>-2.2620676311650816</c:v>
                </c:pt>
                <c:pt idx="97">
                  <c:v>-2.4950668210706746</c:v>
                </c:pt>
                <c:pt idx="98">
                  <c:v>-2.1108198137549947</c:v>
                </c:pt>
                <c:pt idx="99">
                  <c:v>-1.2043841852542239</c:v>
                </c:pt>
                <c:pt idx="100">
                  <c:v>8.3917248150378043E-14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9-4DCD-910B-7B65650C9F97}"/>
            </c:ext>
          </c:extLst>
        </c:ser>
        <c:ser>
          <c:idx val="1"/>
          <c:order val="1"/>
          <c:tx>
            <c:strRef>
              <c:f>despIzquierda!$G$1</c:f>
              <c:strCache>
                <c:ptCount val="1"/>
                <c:pt idx="0">
                  <c:v>x[n-n0]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despIzquierda!$A$2:$A$102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despIzquierda!$G$2:$G$102</c:f>
              <c:numCache>
                <c:formatCode>General</c:formatCode>
                <c:ptCount val="101"/>
                <c:pt idx="0">
                  <c:v>2.495066821070679</c:v>
                </c:pt>
                <c:pt idx="1">
                  <c:v>2.2620676311650487</c:v>
                </c:pt>
                <c:pt idx="2">
                  <c:v>1.4694631307311832</c:v>
                </c:pt>
                <c:pt idx="3">
                  <c:v>0.31333308391076131</c:v>
                </c:pt>
                <c:pt idx="4">
                  <c:v>-0.9203113817116958</c:v>
                </c:pt>
                <c:pt idx="5">
                  <c:v>-1.9262831069394735</c:v>
                </c:pt>
                <c:pt idx="6">
                  <c:v>-2.4557181268217216</c:v>
                </c:pt>
                <c:pt idx="7">
                  <c:v>-2.3776412907378841</c:v>
                </c:pt>
                <c:pt idx="8">
                  <c:v>-1.7113677648217225</c:v>
                </c:pt>
                <c:pt idx="9">
                  <c:v>-0.62172471791213835</c:v>
                </c:pt>
                <c:pt idx="10">
                  <c:v>0.62172471791213724</c:v>
                </c:pt>
                <c:pt idx="11">
                  <c:v>1.7113677648217198</c:v>
                </c:pt>
                <c:pt idx="12">
                  <c:v>2.3776412907378823</c:v>
                </c:pt>
                <c:pt idx="13">
                  <c:v>2.4557181268217225</c:v>
                </c:pt>
                <c:pt idx="14">
                  <c:v>1.9262831069394744</c:v>
                </c:pt>
                <c:pt idx="15">
                  <c:v>0.92031138171169491</c:v>
                </c:pt>
                <c:pt idx="16">
                  <c:v>-0.31333308391075793</c:v>
                </c:pt>
                <c:pt idx="17">
                  <c:v>-1.4694631307311821</c:v>
                </c:pt>
                <c:pt idx="18">
                  <c:v>-2.2620676311650492</c:v>
                </c:pt>
                <c:pt idx="19">
                  <c:v>-2.4950668210706786</c:v>
                </c:pt>
                <c:pt idx="20">
                  <c:v>-2.1108198137550356</c:v>
                </c:pt>
                <c:pt idx="21">
                  <c:v>-1.2043841852542831</c:v>
                </c:pt>
                <c:pt idx="22">
                  <c:v>7.6566357420926323E-15</c:v>
                </c:pt>
                <c:pt idx="23">
                  <c:v>1.2043841852542925</c:v>
                </c:pt>
                <c:pt idx="24">
                  <c:v>2.1108198137550414</c:v>
                </c:pt>
                <c:pt idx="25">
                  <c:v>2.495066821070679</c:v>
                </c:pt>
                <c:pt idx="26">
                  <c:v>2.2620676311650483</c:v>
                </c:pt>
                <c:pt idx="27">
                  <c:v>1.4694631307311803</c:v>
                </c:pt>
                <c:pt idx="28">
                  <c:v>0.31333308391075593</c:v>
                </c:pt>
                <c:pt idx="29">
                  <c:v>-0.9203113817116968</c:v>
                </c:pt>
                <c:pt idx="30">
                  <c:v>-1.9262831069394752</c:v>
                </c:pt>
                <c:pt idx="31">
                  <c:v>-2.4557181268217225</c:v>
                </c:pt>
                <c:pt idx="32">
                  <c:v>-2.3776412907378814</c:v>
                </c:pt>
                <c:pt idx="33">
                  <c:v>-1.7113677648217152</c:v>
                </c:pt>
                <c:pt idx="34">
                  <c:v>-0.62172471791212669</c:v>
                </c:pt>
                <c:pt idx="35">
                  <c:v>0.62172471791214889</c:v>
                </c:pt>
                <c:pt idx="36">
                  <c:v>1.7113677648217318</c:v>
                </c:pt>
                <c:pt idx="37">
                  <c:v>2.377641290737889</c:v>
                </c:pt>
                <c:pt idx="38">
                  <c:v>2.4557181268217185</c:v>
                </c:pt>
                <c:pt idx="39">
                  <c:v>1.926283106939461</c:v>
                </c:pt>
                <c:pt idx="40">
                  <c:v>0.92031138171167537</c:v>
                </c:pt>
                <c:pt idx="41">
                  <c:v>-0.31333308391078313</c:v>
                </c:pt>
                <c:pt idx="42">
                  <c:v>-1.4694631307312025</c:v>
                </c:pt>
                <c:pt idx="43">
                  <c:v>-2.2620676311650563</c:v>
                </c:pt>
                <c:pt idx="44">
                  <c:v>-2.4950668210706777</c:v>
                </c:pt>
                <c:pt idx="45">
                  <c:v>-2.1108198137550267</c:v>
                </c:pt>
                <c:pt idx="46">
                  <c:v>-1.2043841852542685</c:v>
                </c:pt>
                <c:pt idx="47">
                  <c:v>2.4195055681186517E-14</c:v>
                </c:pt>
                <c:pt idx="48">
                  <c:v>1.2043841852543109</c:v>
                </c:pt>
                <c:pt idx="49">
                  <c:v>2.1108198137550525</c:v>
                </c:pt>
                <c:pt idx="50">
                  <c:v>2.4950668210706808</c:v>
                </c:pt>
                <c:pt idx="51">
                  <c:v>2.2620676311650358</c:v>
                </c:pt>
                <c:pt idx="52">
                  <c:v>1.4694631307311563</c:v>
                </c:pt>
                <c:pt idx="53">
                  <c:v>0.31333308391072628</c:v>
                </c:pt>
                <c:pt idx="54">
                  <c:v>-0.92031138171172866</c:v>
                </c:pt>
                <c:pt idx="55">
                  <c:v>-1.9262831069394972</c:v>
                </c:pt>
                <c:pt idx="56">
                  <c:v>-2.4557181268217274</c:v>
                </c:pt>
                <c:pt idx="57">
                  <c:v>-2.3776412907378739</c:v>
                </c:pt>
                <c:pt idx="58">
                  <c:v>-1.7113677648216965</c:v>
                </c:pt>
                <c:pt idx="59">
                  <c:v>-0.62172471791210204</c:v>
                </c:pt>
                <c:pt idx="60">
                  <c:v>0.62172471791217354</c:v>
                </c:pt>
                <c:pt idx="61">
                  <c:v>1.7113677648217505</c:v>
                </c:pt>
                <c:pt idx="62">
                  <c:v>2.3776412907378992</c:v>
                </c:pt>
                <c:pt idx="63">
                  <c:v>2.4557181268217136</c:v>
                </c:pt>
                <c:pt idx="64">
                  <c:v>1.9262831069394504</c:v>
                </c:pt>
                <c:pt idx="65">
                  <c:v>0.92031138171165172</c:v>
                </c:pt>
                <c:pt idx="66">
                  <c:v>-0.31333308391079956</c:v>
                </c:pt>
                <c:pt idx="67">
                  <c:v>-1.4694631307312231</c:v>
                </c:pt>
                <c:pt idx="68">
                  <c:v>-2.2620676311650669</c:v>
                </c:pt>
                <c:pt idx="69">
                  <c:v>-2.4950668210706755</c:v>
                </c:pt>
                <c:pt idx="70">
                  <c:v>-2.1108198137550129</c:v>
                </c:pt>
                <c:pt idx="71">
                  <c:v>-1.2043841852542385</c:v>
                </c:pt>
                <c:pt idx="72">
                  <c:v>4.9615259817281654E-14</c:v>
                </c:pt>
                <c:pt idx="73">
                  <c:v>1.2043841852543409</c:v>
                </c:pt>
                <c:pt idx="74">
                  <c:v>2.1108198137550662</c:v>
                </c:pt>
                <c:pt idx="75">
                  <c:v>2.495066821070683</c:v>
                </c:pt>
                <c:pt idx="76">
                  <c:v>2.2620676311650247</c:v>
                </c:pt>
                <c:pt idx="77">
                  <c:v>1.469463130731143</c:v>
                </c:pt>
                <c:pt idx="78">
                  <c:v>0.31333308391070114</c:v>
                </c:pt>
                <c:pt idx="79">
                  <c:v>-0.92031138171174409</c:v>
                </c:pt>
                <c:pt idx="80">
                  <c:v>-1.9262831069395134</c:v>
                </c:pt>
                <c:pt idx="81">
                  <c:v>-2.4557181268217323</c:v>
                </c:pt>
                <c:pt idx="82">
                  <c:v>-2.3776412907378632</c:v>
                </c:pt>
                <c:pt idx="83">
                  <c:v>-1.7113677648216783</c:v>
                </c:pt>
                <c:pt idx="84">
                  <c:v>-0.62172471791206885</c:v>
                </c:pt>
                <c:pt idx="85">
                  <c:v>0.62172471791219819</c:v>
                </c:pt>
                <c:pt idx="86">
                  <c:v>1.7113677648217753</c:v>
                </c:pt>
                <c:pt idx="87">
                  <c:v>2.3776412907379045</c:v>
                </c:pt>
                <c:pt idx="88">
                  <c:v>2.455718126821707</c:v>
                </c:pt>
                <c:pt idx="89">
                  <c:v>1.9262831069394284</c:v>
                </c:pt>
                <c:pt idx="90">
                  <c:v>0.9203113817116364</c:v>
                </c:pt>
                <c:pt idx="91">
                  <c:v>-0.31333308391083359</c:v>
                </c:pt>
                <c:pt idx="92">
                  <c:v>-1.4694631307312365</c:v>
                </c:pt>
                <c:pt idx="93">
                  <c:v>-2.2620676311650816</c:v>
                </c:pt>
                <c:pt idx="94">
                  <c:v>-2.4950668210706746</c:v>
                </c:pt>
                <c:pt idx="95">
                  <c:v>-2.1108198137549947</c:v>
                </c:pt>
                <c:pt idx="96">
                  <c:v>-1.2043841852542239</c:v>
                </c:pt>
                <c:pt idx="97">
                  <c:v>8.3917248150378043E-14</c:v>
                </c:pt>
                <c:pt idx="98">
                  <c:v>1.2043841852543555</c:v>
                </c:pt>
                <c:pt idx="99">
                  <c:v>2.1108198137550844</c:v>
                </c:pt>
                <c:pt idx="100">
                  <c:v>2.4950668210706839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49-4DCD-910B-7B65650C9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464159"/>
        <c:axId val="1143460319"/>
      </c:scatterChart>
      <c:valAx>
        <c:axId val="11434641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3460319"/>
        <c:crosses val="autoZero"/>
        <c:crossBetween val="midCat"/>
      </c:valAx>
      <c:valAx>
        <c:axId val="11434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346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605118</xdr:colOff>
      <xdr:row>1</xdr:row>
      <xdr:rowOff>17929</xdr:rowOff>
    </xdr:from>
    <xdr:to>
      <xdr:col>26</xdr:col>
      <xdr:colOff>143435</xdr:colOff>
      <xdr:row>19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D6FE99-4D69-5236-DE39-1FFB3DA02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708660</xdr:colOff>
      <xdr:row>1</xdr:row>
      <xdr:rowOff>179070</xdr:rowOff>
    </xdr:from>
    <xdr:to>
      <xdr:col>16</xdr:col>
      <xdr:colOff>548640</xdr:colOff>
      <xdr:row>16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9DE208-1A72-02DC-F33E-17DA4D087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ersonalizado 1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zoomScale="85" zoomScaleNormal="85" workbookViewId="0">
      <selection activeCell="U24" sqref="U24"/>
    </sheetView>
  </sheetViews>
  <sheetFormatPr baseColWidth="10" defaultColWidth="8.88671875" defaultRowHeight="14.4" x14ac:dyDescent="0.3"/>
  <cols>
    <col min="1" max="2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F1" s="1" t="s">
        <v>3</v>
      </c>
      <c r="G1" s="1" t="s">
        <v>5</v>
      </c>
      <c r="I1" s="1" t="s">
        <v>6</v>
      </c>
      <c r="J1" s="1" t="s">
        <v>7</v>
      </c>
      <c r="K1" s="1" t="s">
        <v>5</v>
      </c>
    </row>
    <row r="2" spans="1:11" x14ac:dyDescent="0.3">
      <c r="A2" s="2">
        <f>0</f>
        <v>0</v>
      </c>
      <c r="B2" s="2">
        <f>0</f>
        <v>0</v>
      </c>
      <c r="C2">
        <f>2*PI()*8*A2</f>
        <v>0</v>
      </c>
      <c r="D2">
        <f>2.5*SIN(C2)</f>
        <v>0</v>
      </c>
      <c r="F2">
        <f>2*PI()*8*(A2-0.03)</f>
        <v>-1.5079644737231006</v>
      </c>
      <c r="G2">
        <f>2.5*SIN(F2)</f>
        <v>-2.495066821070679</v>
      </c>
      <c r="I2">
        <f>A2-0.03</f>
        <v>-0.03</v>
      </c>
      <c r="J2">
        <f>2*PI()*8*I2</f>
        <v>-1.5079644737231006</v>
      </c>
      <c r="K2">
        <f>2.5*SIN(J2)</f>
        <v>-2.495066821070679</v>
      </c>
    </row>
    <row r="3" spans="1:11" x14ac:dyDescent="0.3">
      <c r="A3" s="2">
        <f>A2+0.01</f>
        <v>0.01</v>
      </c>
      <c r="B3" s="2">
        <f>B2+1</f>
        <v>1</v>
      </c>
      <c r="C3">
        <f t="shared" ref="C3:C66" si="0">2*PI()*8*A3</f>
        <v>0.50265482457436694</v>
      </c>
      <c r="D3">
        <f t="shared" ref="D3:D66" si="1">2.5*SIN(C3)</f>
        <v>1.2043841852542883</v>
      </c>
      <c r="F3">
        <f t="shared" ref="F3:F66" si="2">2*PI()*8*(A3-0.03)</f>
        <v>-1.0053096491487337</v>
      </c>
      <c r="G3">
        <f t="shared" ref="G3:G66" si="3">2.5*SIN(F3)</f>
        <v>-2.1108198137550374</v>
      </c>
      <c r="I3">
        <f t="shared" ref="I3:I66" si="4">A3-0.03</f>
        <v>-1.9999999999999997E-2</v>
      </c>
      <c r="J3">
        <f t="shared" ref="J3:J66" si="5">2*PI()*8*I3</f>
        <v>-1.0053096491487337</v>
      </c>
      <c r="K3">
        <f t="shared" ref="K3:K66" si="6">2.5*SIN(J3)</f>
        <v>-2.1108198137550374</v>
      </c>
    </row>
    <row r="4" spans="1:11" x14ac:dyDescent="0.3">
      <c r="A4" s="2">
        <f t="shared" ref="A4:A67" si="7">A3+0.01</f>
        <v>0.02</v>
      </c>
      <c r="B4" s="2">
        <f t="shared" ref="B4:B67" si="8">B3+1</f>
        <v>2</v>
      </c>
      <c r="C4">
        <f t="shared" si="0"/>
        <v>1.0053096491487339</v>
      </c>
      <c r="D4">
        <f t="shared" si="1"/>
        <v>2.1108198137550378</v>
      </c>
      <c r="F4">
        <f t="shared" si="2"/>
        <v>-0.50265482457436683</v>
      </c>
      <c r="G4">
        <f t="shared" si="3"/>
        <v>-1.204384185254288</v>
      </c>
      <c r="I4">
        <f t="shared" si="4"/>
        <v>-9.9999999999999985E-3</v>
      </c>
      <c r="J4">
        <f t="shared" si="5"/>
        <v>-0.50265482457436683</v>
      </c>
      <c r="K4">
        <f t="shared" si="6"/>
        <v>-1.204384185254288</v>
      </c>
    </row>
    <row r="5" spans="1:11" x14ac:dyDescent="0.3">
      <c r="A5" s="2">
        <f t="shared" si="7"/>
        <v>0.03</v>
      </c>
      <c r="B5" s="2">
        <f t="shared" si="8"/>
        <v>3</v>
      </c>
      <c r="C5">
        <f t="shared" si="0"/>
        <v>1.5079644737231006</v>
      </c>
      <c r="D5">
        <f t="shared" si="1"/>
        <v>2.495066821070679</v>
      </c>
      <c r="F5">
        <f t="shared" si="2"/>
        <v>0</v>
      </c>
      <c r="G5">
        <f t="shared" si="3"/>
        <v>0</v>
      </c>
      <c r="I5">
        <f t="shared" si="4"/>
        <v>0</v>
      </c>
      <c r="J5">
        <f t="shared" si="5"/>
        <v>0</v>
      </c>
      <c r="K5">
        <f t="shared" si="6"/>
        <v>0</v>
      </c>
    </row>
    <row r="6" spans="1:11" x14ac:dyDescent="0.3">
      <c r="A6" s="2">
        <f t="shared" si="7"/>
        <v>0.04</v>
      </c>
      <c r="B6" s="2">
        <f t="shared" si="8"/>
        <v>4</v>
      </c>
      <c r="C6">
        <f t="shared" si="0"/>
        <v>2.0106192982974678</v>
      </c>
      <c r="D6">
        <f t="shared" si="1"/>
        <v>2.2620676311650487</v>
      </c>
      <c r="F6">
        <f t="shared" si="2"/>
        <v>0.50265482457436694</v>
      </c>
      <c r="G6">
        <f t="shared" si="3"/>
        <v>1.2043841852542883</v>
      </c>
      <c r="I6">
        <f t="shared" si="4"/>
        <v>1.0000000000000002E-2</v>
      </c>
      <c r="J6">
        <f t="shared" si="5"/>
        <v>0.50265482457436694</v>
      </c>
      <c r="K6">
        <f t="shared" si="6"/>
        <v>1.2043841852542883</v>
      </c>
    </row>
    <row r="7" spans="1:11" x14ac:dyDescent="0.3">
      <c r="A7" s="2">
        <f t="shared" si="7"/>
        <v>0.05</v>
      </c>
      <c r="B7" s="2">
        <f t="shared" si="8"/>
        <v>5</v>
      </c>
      <c r="C7">
        <f t="shared" si="0"/>
        <v>2.5132741228718345</v>
      </c>
      <c r="D7">
        <f t="shared" si="1"/>
        <v>1.4694631307311832</v>
      </c>
      <c r="F7">
        <f t="shared" si="2"/>
        <v>1.0053096491487339</v>
      </c>
      <c r="G7">
        <f t="shared" si="3"/>
        <v>2.1108198137550378</v>
      </c>
      <c r="I7">
        <f t="shared" si="4"/>
        <v>2.0000000000000004E-2</v>
      </c>
      <c r="J7">
        <f t="shared" si="5"/>
        <v>1.0053096491487339</v>
      </c>
      <c r="K7">
        <f t="shared" si="6"/>
        <v>2.1108198137550378</v>
      </c>
    </row>
    <row r="8" spans="1:11" x14ac:dyDescent="0.3">
      <c r="A8" s="2">
        <f t="shared" si="7"/>
        <v>6.0000000000000005E-2</v>
      </c>
      <c r="B8" s="2">
        <f t="shared" si="8"/>
        <v>6</v>
      </c>
      <c r="C8">
        <f t="shared" si="0"/>
        <v>3.0159289474462017</v>
      </c>
      <c r="D8">
        <f t="shared" si="1"/>
        <v>0.3133330839107602</v>
      </c>
      <c r="F8">
        <f t="shared" si="2"/>
        <v>1.5079644737231011</v>
      </c>
      <c r="G8">
        <f t="shared" si="3"/>
        <v>2.495066821070679</v>
      </c>
      <c r="I8">
        <f t="shared" si="4"/>
        <v>3.0000000000000006E-2</v>
      </c>
      <c r="J8">
        <f t="shared" si="5"/>
        <v>1.5079644737231011</v>
      </c>
      <c r="K8">
        <f t="shared" si="6"/>
        <v>2.495066821070679</v>
      </c>
    </row>
    <row r="9" spans="1:11" x14ac:dyDescent="0.3">
      <c r="A9" s="2">
        <f t="shared" si="7"/>
        <v>7.0000000000000007E-2</v>
      </c>
      <c r="B9" s="2">
        <f t="shared" si="8"/>
        <v>7</v>
      </c>
      <c r="C9">
        <f t="shared" si="0"/>
        <v>3.5185837720205688</v>
      </c>
      <c r="D9">
        <f t="shared" si="1"/>
        <v>-0.9203113817116958</v>
      </c>
      <c r="F9">
        <f t="shared" si="2"/>
        <v>2.0106192982974678</v>
      </c>
      <c r="G9">
        <f t="shared" si="3"/>
        <v>2.2620676311650487</v>
      </c>
      <c r="I9">
        <f t="shared" si="4"/>
        <v>4.0000000000000008E-2</v>
      </c>
      <c r="J9">
        <f t="shared" si="5"/>
        <v>2.0106192982974678</v>
      </c>
      <c r="K9">
        <f t="shared" si="6"/>
        <v>2.2620676311650487</v>
      </c>
    </row>
    <row r="10" spans="1:11" x14ac:dyDescent="0.3">
      <c r="A10" s="2">
        <f t="shared" si="7"/>
        <v>0.08</v>
      </c>
      <c r="B10" s="2">
        <f t="shared" si="8"/>
        <v>8</v>
      </c>
      <c r="C10">
        <f t="shared" si="0"/>
        <v>4.0212385965949355</v>
      </c>
      <c r="D10">
        <f t="shared" si="1"/>
        <v>-1.9262831069394735</v>
      </c>
      <c r="F10">
        <f t="shared" si="2"/>
        <v>2.5132741228718345</v>
      </c>
      <c r="G10">
        <f t="shared" si="3"/>
        <v>1.4694631307311832</v>
      </c>
      <c r="I10">
        <f t="shared" si="4"/>
        <v>0.05</v>
      </c>
      <c r="J10">
        <f t="shared" si="5"/>
        <v>2.5132741228718345</v>
      </c>
      <c r="K10">
        <f t="shared" si="6"/>
        <v>1.4694631307311832</v>
      </c>
    </row>
    <row r="11" spans="1:11" x14ac:dyDescent="0.3">
      <c r="A11" s="2">
        <f t="shared" si="7"/>
        <v>0.09</v>
      </c>
      <c r="B11" s="2">
        <f t="shared" si="8"/>
        <v>9</v>
      </c>
      <c r="C11">
        <f t="shared" si="0"/>
        <v>4.5238934211693023</v>
      </c>
      <c r="D11">
        <f t="shared" si="1"/>
        <v>-2.4557181268217216</v>
      </c>
      <c r="F11">
        <f t="shared" si="2"/>
        <v>3.0159289474462012</v>
      </c>
      <c r="G11">
        <f t="shared" si="3"/>
        <v>0.31333308391076131</v>
      </c>
      <c r="I11">
        <f t="shared" si="4"/>
        <v>0.06</v>
      </c>
      <c r="J11">
        <f t="shared" si="5"/>
        <v>3.0159289474462012</v>
      </c>
      <c r="K11">
        <f t="shared" si="6"/>
        <v>0.31333308391076131</v>
      </c>
    </row>
    <row r="12" spans="1:11" x14ac:dyDescent="0.3">
      <c r="A12" s="2">
        <f t="shared" si="7"/>
        <v>9.9999999999999992E-2</v>
      </c>
      <c r="B12" s="2">
        <f t="shared" si="8"/>
        <v>10</v>
      </c>
      <c r="C12">
        <f t="shared" si="0"/>
        <v>5.026548245743669</v>
      </c>
      <c r="D12">
        <f t="shared" si="1"/>
        <v>-2.3776412907378841</v>
      </c>
      <c r="F12">
        <f t="shared" si="2"/>
        <v>3.5185837720205679</v>
      </c>
      <c r="G12">
        <f t="shared" si="3"/>
        <v>-0.92031138171169369</v>
      </c>
      <c r="I12">
        <f t="shared" si="4"/>
        <v>6.9999999999999993E-2</v>
      </c>
      <c r="J12">
        <f t="shared" si="5"/>
        <v>3.5185837720205679</v>
      </c>
      <c r="K12">
        <f t="shared" si="6"/>
        <v>-0.92031138171169369</v>
      </c>
    </row>
    <row r="13" spans="1:11" x14ac:dyDescent="0.3">
      <c r="A13" s="2">
        <f t="shared" si="7"/>
        <v>0.10999999999999999</v>
      </c>
      <c r="B13" s="2">
        <f t="shared" si="8"/>
        <v>11</v>
      </c>
      <c r="C13">
        <f t="shared" si="0"/>
        <v>5.5292030703180348</v>
      </c>
      <c r="D13">
        <f t="shared" si="1"/>
        <v>-1.711367764821724</v>
      </c>
      <c r="F13">
        <f t="shared" si="2"/>
        <v>4.0212385965949347</v>
      </c>
      <c r="G13">
        <f t="shared" si="3"/>
        <v>-1.9262831069394721</v>
      </c>
      <c r="I13">
        <f t="shared" si="4"/>
        <v>7.9999999999999988E-2</v>
      </c>
      <c r="J13">
        <f t="shared" si="5"/>
        <v>4.0212385965949347</v>
      </c>
      <c r="K13">
        <f t="shared" si="6"/>
        <v>-1.9262831069394721</v>
      </c>
    </row>
    <row r="14" spans="1:11" x14ac:dyDescent="0.3">
      <c r="A14" s="2">
        <f t="shared" si="7"/>
        <v>0.11999999999999998</v>
      </c>
      <c r="B14" s="2">
        <f t="shared" si="8"/>
        <v>12</v>
      </c>
      <c r="C14">
        <f t="shared" si="0"/>
        <v>6.0318578948924015</v>
      </c>
      <c r="D14">
        <f t="shared" si="1"/>
        <v>-0.62172471791214057</v>
      </c>
      <c r="F14">
        <f t="shared" si="2"/>
        <v>4.5238934211693014</v>
      </c>
      <c r="G14">
        <f t="shared" si="3"/>
        <v>-2.4557181268217212</v>
      </c>
      <c r="I14">
        <f t="shared" si="4"/>
        <v>8.9999999999999983E-2</v>
      </c>
      <c r="J14">
        <f t="shared" si="5"/>
        <v>4.5238934211693014</v>
      </c>
      <c r="K14">
        <f t="shared" si="6"/>
        <v>-2.4557181268217212</v>
      </c>
    </row>
    <row r="15" spans="1:11" x14ac:dyDescent="0.3">
      <c r="A15" s="2">
        <f t="shared" si="7"/>
        <v>0.12999999999999998</v>
      </c>
      <c r="B15" s="2">
        <f t="shared" si="8"/>
        <v>13</v>
      </c>
      <c r="C15">
        <f t="shared" si="0"/>
        <v>6.5345127194667683</v>
      </c>
      <c r="D15">
        <f t="shared" si="1"/>
        <v>0.62172471791213291</v>
      </c>
      <c r="F15">
        <f t="shared" si="2"/>
        <v>5.0265482457436681</v>
      </c>
      <c r="G15">
        <f t="shared" si="3"/>
        <v>-2.3776412907378845</v>
      </c>
      <c r="I15">
        <f t="shared" si="4"/>
        <v>9.9999999999999978E-2</v>
      </c>
      <c r="J15">
        <f t="shared" si="5"/>
        <v>5.0265482457436681</v>
      </c>
      <c r="K15">
        <f t="shared" si="6"/>
        <v>-2.3776412907378845</v>
      </c>
    </row>
    <row r="16" spans="1:11" x14ac:dyDescent="0.3">
      <c r="A16" s="2">
        <f t="shared" si="7"/>
        <v>0.13999999999999999</v>
      </c>
      <c r="B16" s="2">
        <f t="shared" si="8"/>
        <v>14</v>
      </c>
      <c r="C16">
        <f t="shared" si="0"/>
        <v>7.0371675440411359</v>
      </c>
      <c r="D16">
        <f t="shared" si="1"/>
        <v>1.7113677648217198</v>
      </c>
      <c r="F16">
        <f t="shared" si="2"/>
        <v>5.5292030703180348</v>
      </c>
      <c r="G16">
        <f t="shared" si="3"/>
        <v>-1.711367764821724</v>
      </c>
      <c r="I16">
        <f t="shared" si="4"/>
        <v>0.10999999999999999</v>
      </c>
      <c r="J16">
        <f t="shared" si="5"/>
        <v>5.5292030703180348</v>
      </c>
      <c r="K16">
        <f t="shared" si="6"/>
        <v>-1.711367764821724</v>
      </c>
    </row>
    <row r="17" spans="1:11" x14ac:dyDescent="0.3">
      <c r="A17" s="2">
        <f t="shared" si="7"/>
        <v>0.15</v>
      </c>
      <c r="B17" s="2">
        <f t="shared" si="8"/>
        <v>15</v>
      </c>
      <c r="C17">
        <f t="shared" si="0"/>
        <v>7.5398223686155035</v>
      </c>
      <c r="D17">
        <f t="shared" si="1"/>
        <v>2.3776412907378837</v>
      </c>
      <c r="F17">
        <f t="shared" si="2"/>
        <v>6.0318578948924024</v>
      </c>
      <c r="G17">
        <f t="shared" si="3"/>
        <v>-0.62172471791213835</v>
      </c>
      <c r="I17">
        <f t="shared" si="4"/>
        <v>0.12</v>
      </c>
      <c r="J17">
        <f t="shared" si="5"/>
        <v>6.0318578948924024</v>
      </c>
      <c r="K17">
        <f t="shared" si="6"/>
        <v>-0.62172471791213835</v>
      </c>
    </row>
    <row r="18" spans="1:11" x14ac:dyDescent="0.3">
      <c r="A18" s="2">
        <f t="shared" si="7"/>
        <v>0.16</v>
      </c>
      <c r="B18" s="2">
        <f t="shared" si="8"/>
        <v>16</v>
      </c>
      <c r="C18">
        <f t="shared" si="0"/>
        <v>8.0424771931898711</v>
      </c>
      <c r="D18">
        <f t="shared" si="1"/>
        <v>2.4557181268217216</v>
      </c>
      <c r="F18">
        <f t="shared" si="2"/>
        <v>6.53451271946677</v>
      </c>
      <c r="G18">
        <f t="shared" si="3"/>
        <v>0.62172471791213724</v>
      </c>
      <c r="I18">
        <f t="shared" si="4"/>
        <v>0.13</v>
      </c>
      <c r="J18">
        <f t="shared" si="5"/>
        <v>6.53451271946677</v>
      </c>
      <c r="K18">
        <f t="shared" si="6"/>
        <v>0.62172471791213724</v>
      </c>
    </row>
    <row r="19" spans="1:11" x14ac:dyDescent="0.3">
      <c r="A19" s="2">
        <f t="shared" si="7"/>
        <v>0.17</v>
      </c>
      <c r="B19" s="2">
        <f t="shared" si="8"/>
        <v>17</v>
      </c>
      <c r="C19">
        <f t="shared" si="0"/>
        <v>8.5451320177642387</v>
      </c>
      <c r="D19">
        <f t="shared" si="1"/>
        <v>1.9262831069394715</v>
      </c>
      <c r="F19">
        <f t="shared" si="2"/>
        <v>7.0371675440411376</v>
      </c>
      <c r="G19">
        <f t="shared" si="3"/>
        <v>1.7113677648217231</v>
      </c>
      <c r="I19">
        <f t="shared" si="4"/>
        <v>0.14000000000000001</v>
      </c>
      <c r="J19">
        <f t="shared" si="5"/>
        <v>7.0371675440411376</v>
      </c>
      <c r="K19">
        <f t="shared" si="6"/>
        <v>1.7113677648217231</v>
      </c>
    </row>
    <row r="20" spans="1:11" x14ac:dyDescent="0.3">
      <c r="A20" s="2">
        <f t="shared" si="7"/>
        <v>0.18000000000000002</v>
      </c>
      <c r="B20" s="2">
        <f t="shared" si="8"/>
        <v>18</v>
      </c>
      <c r="C20">
        <f t="shared" si="0"/>
        <v>9.0477868423386045</v>
      </c>
      <c r="D20">
        <f t="shared" si="1"/>
        <v>0.92031138171169491</v>
      </c>
      <c r="F20">
        <f t="shared" si="2"/>
        <v>7.5398223686155044</v>
      </c>
      <c r="G20">
        <f t="shared" si="3"/>
        <v>2.3776412907378845</v>
      </c>
      <c r="I20">
        <f t="shared" si="4"/>
        <v>0.15000000000000002</v>
      </c>
      <c r="J20">
        <f t="shared" si="5"/>
        <v>7.5398223686155044</v>
      </c>
      <c r="K20">
        <f t="shared" si="6"/>
        <v>2.3776412907378845</v>
      </c>
    </row>
    <row r="21" spans="1:11" x14ac:dyDescent="0.3">
      <c r="A21" s="2">
        <f t="shared" si="7"/>
        <v>0.19000000000000003</v>
      </c>
      <c r="B21" s="2">
        <f t="shared" si="8"/>
        <v>19</v>
      </c>
      <c r="C21">
        <f t="shared" si="0"/>
        <v>9.5504416669129721</v>
      </c>
      <c r="D21">
        <f t="shared" si="1"/>
        <v>-0.31333308391076231</v>
      </c>
      <c r="F21">
        <f t="shared" si="2"/>
        <v>8.0424771931898711</v>
      </c>
      <c r="G21">
        <f t="shared" si="3"/>
        <v>2.4557181268217216</v>
      </c>
      <c r="I21">
        <f t="shared" si="4"/>
        <v>0.16000000000000003</v>
      </c>
      <c r="J21">
        <f t="shared" si="5"/>
        <v>8.0424771931898711</v>
      </c>
      <c r="K21">
        <f t="shared" si="6"/>
        <v>2.4557181268217216</v>
      </c>
    </row>
    <row r="22" spans="1:11" x14ac:dyDescent="0.3">
      <c r="A22" s="2">
        <f t="shared" si="7"/>
        <v>0.20000000000000004</v>
      </c>
      <c r="B22" s="2">
        <f t="shared" si="8"/>
        <v>20</v>
      </c>
      <c r="C22">
        <f t="shared" si="0"/>
        <v>10.05309649148734</v>
      </c>
      <c r="D22">
        <f t="shared" si="1"/>
        <v>-1.4694631307311856</v>
      </c>
      <c r="F22">
        <f t="shared" si="2"/>
        <v>8.5451320177642387</v>
      </c>
      <c r="G22">
        <f t="shared" si="3"/>
        <v>1.9262831069394715</v>
      </c>
      <c r="I22">
        <f t="shared" si="4"/>
        <v>0.17000000000000004</v>
      </c>
      <c r="J22">
        <f t="shared" si="5"/>
        <v>8.5451320177642387</v>
      </c>
      <c r="K22">
        <f t="shared" si="6"/>
        <v>1.9262831069394715</v>
      </c>
    </row>
    <row r="23" spans="1:11" x14ac:dyDescent="0.3">
      <c r="A23" s="2">
        <f t="shared" si="7"/>
        <v>0.21000000000000005</v>
      </c>
      <c r="B23" s="2">
        <f t="shared" si="8"/>
        <v>21</v>
      </c>
      <c r="C23">
        <f t="shared" si="0"/>
        <v>10.555751316061707</v>
      </c>
      <c r="D23">
        <f t="shared" si="1"/>
        <v>-2.2620676311650509</v>
      </c>
      <c r="F23">
        <f t="shared" si="2"/>
        <v>9.0477868423386063</v>
      </c>
      <c r="G23">
        <f t="shared" si="3"/>
        <v>0.9203113817116908</v>
      </c>
      <c r="I23">
        <f t="shared" si="4"/>
        <v>0.18000000000000005</v>
      </c>
      <c r="J23">
        <f t="shared" si="5"/>
        <v>9.0477868423386063</v>
      </c>
      <c r="K23">
        <f t="shared" si="6"/>
        <v>0.9203113817116908</v>
      </c>
    </row>
    <row r="24" spans="1:11" x14ac:dyDescent="0.3">
      <c r="A24" s="2">
        <f t="shared" si="7"/>
        <v>0.22000000000000006</v>
      </c>
      <c r="B24" s="2">
        <f t="shared" si="8"/>
        <v>22</v>
      </c>
      <c r="C24">
        <f t="shared" si="0"/>
        <v>11.058406140636075</v>
      </c>
      <c r="D24">
        <f t="shared" si="1"/>
        <v>-2.4950668210706786</v>
      </c>
      <c r="F24">
        <f t="shared" si="2"/>
        <v>9.5504416669129739</v>
      </c>
      <c r="G24">
        <f t="shared" si="3"/>
        <v>-0.31333308391076675</v>
      </c>
      <c r="I24">
        <f t="shared" si="4"/>
        <v>0.19000000000000006</v>
      </c>
      <c r="J24">
        <f t="shared" si="5"/>
        <v>9.5504416669129739</v>
      </c>
      <c r="K24">
        <f t="shared" si="6"/>
        <v>-0.31333308391076675</v>
      </c>
    </row>
    <row r="25" spans="1:11" x14ac:dyDescent="0.3">
      <c r="A25" s="2">
        <f t="shared" si="7"/>
        <v>0.23000000000000007</v>
      </c>
      <c r="B25" s="2">
        <f t="shared" si="8"/>
        <v>23</v>
      </c>
      <c r="C25">
        <f t="shared" si="0"/>
        <v>11.561060965210443</v>
      </c>
      <c r="D25">
        <f t="shared" si="1"/>
        <v>-2.1108198137550329</v>
      </c>
      <c r="F25">
        <f t="shared" si="2"/>
        <v>10.053096491487342</v>
      </c>
      <c r="G25">
        <f t="shared" si="3"/>
        <v>-1.4694631307311892</v>
      </c>
      <c r="I25">
        <f t="shared" si="4"/>
        <v>0.20000000000000007</v>
      </c>
      <c r="J25">
        <f t="shared" si="5"/>
        <v>10.053096491487342</v>
      </c>
      <c r="K25">
        <f t="shared" si="6"/>
        <v>-1.4694631307311892</v>
      </c>
    </row>
    <row r="26" spans="1:11" x14ac:dyDescent="0.3">
      <c r="A26" s="2">
        <f t="shared" si="7"/>
        <v>0.24000000000000007</v>
      </c>
      <c r="B26" s="2">
        <f t="shared" si="8"/>
        <v>24</v>
      </c>
      <c r="C26">
        <f t="shared" si="0"/>
        <v>12.06371578978481</v>
      </c>
      <c r="D26">
        <f t="shared" si="1"/>
        <v>-1.2043841852542791</v>
      </c>
      <c r="F26">
        <f t="shared" si="2"/>
        <v>10.555751316061709</v>
      </c>
      <c r="G26">
        <f t="shared" si="3"/>
        <v>-2.2620676311650527</v>
      </c>
      <c r="I26">
        <f t="shared" si="4"/>
        <v>0.21000000000000008</v>
      </c>
      <c r="J26">
        <f t="shared" si="5"/>
        <v>10.555751316061709</v>
      </c>
      <c r="K26">
        <f t="shared" si="6"/>
        <v>-2.2620676311650527</v>
      </c>
    </row>
    <row r="27" spans="1:11" x14ac:dyDescent="0.3">
      <c r="A27" s="2">
        <f t="shared" si="7"/>
        <v>0.25000000000000006</v>
      </c>
      <c r="B27" s="2">
        <f t="shared" si="8"/>
        <v>25</v>
      </c>
      <c r="C27">
        <f t="shared" si="0"/>
        <v>12.566370614359176</v>
      </c>
      <c r="D27">
        <f t="shared" si="1"/>
        <v>7.6566357420926323E-15</v>
      </c>
      <c r="F27">
        <f t="shared" si="2"/>
        <v>11.058406140636075</v>
      </c>
      <c r="G27">
        <f t="shared" si="3"/>
        <v>-2.4950668210706786</v>
      </c>
      <c r="I27">
        <f t="shared" si="4"/>
        <v>0.22000000000000006</v>
      </c>
      <c r="J27">
        <f t="shared" si="5"/>
        <v>11.058406140636075</v>
      </c>
      <c r="K27">
        <f t="shared" si="6"/>
        <v>-2.4950668210706786</v>
      </c>
    </row>
    <row r="28" spans="1:11" x14ac:dyDescent="0.3">
      <c r="A28" s="2">
        <f t="shared" si="7"/>
        <v>0.26000000000000006</v>
      </c>
      <c r="B28" s="2">
        <f t="shared" si="8"/>
        <v>26</v>
      </c>
      <c r="C28">
        <f t="shared" si="0"/>
        <v>13.069025438933542</v>
      </c>
      <c r="D28">
        <f t="shared" si="1"/>
        <v>1.2043841852542925</v>
      </c>
      <c r="F28">
        <f t="shared" si="2"/>
        <v>11.561060965210443</v>
      </c>
      <c r="G28">
        <f t="shared" si="3"/>
        <v>-2.1108198137550329</v>
      </c>
      <c r="I28">
        <f t="shared" si="4"/>
        <v>0.23000000000000007</v>
      </c>
      <c r="J28">
        <f t="shared" si="5"/>
        <v>11.561060965210443</v>
      </c>
      <c r="K28">
        <f t="shared" si="6"/>
        <v>-2.1108198137550329</v>
      </c>
    </row>
    <row r="29" spans="1:11" x14ac:dyDescent="0.3">
      <c r="A29" s="2">
        <f t="shared" si="7"/>
        <v>0.27000000000000007</v>
      </c>
      <c r="B29" s="2">
        <f t="shared" si="8"/>
        <v>27</v>
      </c>
      <c r="C29">
        <f t="shared" si="0"/>
        <v>13.571680263507909</v>
      </c>
      <c r="D29">
        <f t="shared" si="1"/>
        <v>2.1108198137550414</v>
      </c>
      <c r="F29">
        <f t="shared" si="2"/>
        <v>12.06371578978481</v>
      </c>
      <c r="G29">
        <f t="shared" si="3"/>
        <v>-1.2043841852542791</v>
      </c>
      <c r="I29">
        <f t="shared" si="4"/>
        <v>0.24000000000000007</v>
      </c>
      <c r="J29">
        <f t="shared" si="5"/>
        <v>12.06371578978481</v>
      </c>
      <c r="K29">
        <f t="shared" si="6"/>
        <v>-1.2043841852542791</v>
      </c>
    </row>
    <row r="30" spans="1:11" x14ac:dyDescent="0.3">
      <c r="A30" s="2">
        <f t="shared" si="7"/>
        <v>0.28000000000000008</v>
      </c>
      <c r="B30" s="2">
        <f t="shared" si="8"/>
        <v>28</v>
      </c>
      <c r="C30">
        <f t="shared" si="0"/>
        <v>14.074335088082277</v>
      </c>
      <c r="D30">
        <f t="shared" si="1"/>
        <v>2.4950668210706795</v>
      </c>
      <c r="F30">
        <f t="shared" si="2"/>
        <v>12.566370614359178</v>
      </c>
      <c r="G30">
        <f t="shared" si="3"/>
        <v>1.2097527840593258E-14</v>
      </c>
      <c r="I30">
        <f t="shared" si="4"/>
        <v>0.25000000000000011</v>
      </c>
      <c r="J30">
        <f t="shared" si="5"/>
        <v>12.566370614359178</v>
      </c>
      <c r="K30">
        <f t="shared" si="6"/>
        <v>1.2097527840593258E-14</v>
      </c>
    </row>
    <row r="31" spans="1:11" x14ac:dyDescent="0.3">
      <c r="A31" s="2">
        <f t="shared" si="7"/>
        <v>0.29000000000000009</v>
      </c>
      <c r="B31" s="2">
        <f t="shared" si="8"/>
        <v>29</v>
      </c>
      <c r="C31">
        <f t="shared" si="0"/>
        <v>14.576989912656645</v>
      </c>
      <c r="D31">
        <f t="shared" si="1"/>
        <v>2.2620676311650447</v>
      </c>
      <c r="F31">
        <f t="shared" si="2"/>
        <v>13.069025438933545</v>
      </c>
      <c r="G31">
        <f t="shared" si="3"/>
        <v>1.2043841852543002</v>
      </c>
      <c r="I31">
        <f t="shared" si="4"/>
        <v>0.26000000000000012</v>
      </c>
      <c r="J31">
        <f t="shared" si="5"/>
        <v>13.069025438933545</v>
      </c>
      <c r="K31">
        <f t="shared" si="6"/>
        <v>1.2043841852543002</v>
      </c>
    </row>
    <row r="32" spans="1:11" x14ac:dyDescent="0.3">
      <c r="A32" s="2">
        <f t="shared" si="7"/>
        <v>0.3000000000000001</v>
      </c>
      <c r="B32" s="2">
        <f t="shared" si="8"/>
        <v>30</v>
      </c>
      <c r="C32">
        <f t="shared" si="0"/>
        <v>15.079644737231012</v>
      </c>
      <c r="D32">
        <f t="shared" si="1"/>
        <v>1.4694631307311732</v>
      </c>
      <c r="F32">
        <f t="shared" si="2"/>
        <v>13.571680263507913</v>
      </c>
      <c r="G32">
        <f t="shared" si="3"/>
        <v>2.1108198137550458</v>
      </c>
      <c r="I32">
        <f t="shared" si="4"/>
        <v>0.27000000000000013</v>
      </c>
      <c r="J32">
        <f t="shared" si="5"/>
        <v>13.571680263507913</v>
      </c>
      <c r="K32">
        <f t="shared" si="6"/>
        <v>2.1108198137550458</v>
      </c>
    </row>
    <row r="33" spans="1:11" x14ac:dyDescent="0.3">
      <c r="A33" s="2">
        <f t="shared" si="7"/>
        <v>0.31000000000000011</v>
      </c>
      <c r="B33" s="2">
        <f t="shared" si="8"/>
        <v>31</v>
      </c>
      <c r="C33">
        <f t="shared" si="0"/>
        <v>15.58229956180538</v>
      </c>
      <c r="D33">
        <f t="shared" si="1"/>
        <v>0.3133330839107471</v>
      </c>
      <c r="F33">
        <f t="shared" si="2"/>
        <v>14.074335088082281</v>
      </c>
      <c r="G33">
        <f t="shared" si="3"/>
        <v>2.4950668210706799</v>
      </c>
      <c r="I33">
        <f t="shared" si="4"/>
        <v>0.28000000000000014</v>
      </c>
      <c r="J33">
        <f t="shared" si="5"/>
        <v>14.074335088082281</v>
      </c>
      <c r="K33">
        <f t="shared" si="6"/>
        <v>2.4950668210706799</v>
      </c>
    </row>
    <row r="34" spans="1:11" x14ac:dyDescent="0.3">
      <c r="A34" s="2">
        <f t="shared" si="7"/>
        <v>0.32000000000000012</v>
      </c>
      <c r="B34" s="2">
        <f t="shared" si="8"/>
        <v>32</v>
      </c>
      <c r="C34">
        <f t="shared" si="0"/>
        <v>16.084954386379746</v>
      </c>
      <c r="D34">
        <f t="shared" si="1"/>
        <v>-0.92031138171170501</v>
      </c>
      <c r="F34">
        <f t="shared" si="2"/>
        <v>14.576989912656648</v>
      </c>
      <c r="G34">
        <f t="shared" si="3"/>
        <v>2.2620676311650407</v>
      </c>
      <c r="I34">
        <f t="shared" si="4"/>
        <v>0.29000000000000015</v>
      </c>
      <c r="J34">
        <f t="shared" si="5"/>
        <v>14.576989912656648</v>
      </c>
      <c r="K34">
        <f t="shared" si="6"/>
        <v>2.2620676311650407</v>
      </c>
    </row>
    <row r="35" spans="1:11" x14ac:dyDescent="0.3">
      <c r="A35" s="2">
        <f t="shared" si="7"/>
        <v>0.33000000000000013</v>
      </c>
      <c r="B35" s="2">
        <f t="shared" si="8"/>
        <v>33</v>
      </c>
      <c r="C35">
        <f t="shared" si="0"/>
        <v>16.587609210954113</v>
      </c>
      <c r="D35">
        <f t="shared" si="1"/>
        <v>-1.9262831069394812</v>
      </c>
      <c r="F35">
        <f t="shared" si="2"/>
        <v>15.079644737231014</v>
      </c>
      <c r="G35">
        <f t="shared" si="3"/>
        <v>1.4694631307311696</v>
      </c>
      <c r="I35">
        <f t="shared" si="4"/>
        <v>0.30000000000000016</v>
      </c>
      <c r="J35">
        <f t="shared" si="5"/>
        <v>15.079644737231014</v>
      </c>
      <c r="K35">
        <f t="shared" si="6"/>
        <v>1.4694631307311696</v>
      </c>
    </row>
    <row r="36" spans="1:11" x14ac:dyDescent="0.3">
      <c r="A36" s="2">
        <f t="shared" si="7"/>
        <v>0.34000000000000014</v>
      </c>
      <c r="B36" s="2">
        <f t="shared" si="8"/>
        <v>34</v>
      </c>
      <c r="C36">
        <f t="shared" si="0"/>
        <v>17.090264035528481</v>
      </c>
      <c r="D36">
        <f t="shared" si="1"/>
        <v>-2.4557181268217243</v>
      </c>
      <c r="F36">
        <f t="shared" si="2"/>
        <v>15.582299561805382</v>
      </c>
      <c r="G36">
        <f t="shared" si="3"/>
        <v>0.31333308391074277</v>
      </c>
      <c r="I36">
        <f t="shared" si="4"/>
        <v>0.31000000000000016</v>
      </c>
      <c r="J36">
        <f t="shared" si="5"/>
        <v>15.582299561805382</v>
      </c>
      <c r="K36">
        <f t="shared" si="6"/>
        <v>0.31333308391074277</v>
      </c>
    </row>
    <row r="37" spans="1:11" x14ac:dyDescent="0.3">
      <c r="A37" s="2">
        <f t="shared" si="7"/>
        <v>0.35000000000000014</v>
      </c>
      <c r="B37" s="2">
        <f t="shared" si="8"/>
        <v>35</v>
      </c>
      <c r="C37">
        <f t="shared" si="0"/>
        <v>17.592918860102849</v>
      </c>
      <c r="D37">
        <f t="shared" si="1"/>
        <v>-2.3776412907378792</v>
      </c>
      <c r="F37">
        <f t="shared" si="2"/>
        <v>16.084954386379749</v>
      </c>
      <c r="G37">
        <f t="shared" si="3"/>
        <v>-0.92031138171171323</v>
      </c>
      <c r="I37">
        <f t="shared" si="4"/>
        <v>0.32000000000000017</v>
      </c>
      <c r="J37">
        <f t="shared" si="5"/>
        <v>16.084954386379749</v>
      </c>
      <c r="K37">
        <f t="shared" si="6"/>
        <v>-0.92031138171171323</v>
      </c>
    </row>
    <row r="38" spans="1:11" x14ac:dyDescent="0.3">
      <c r="A38" s="2">
        <f t="shared" si="7"/>
        <v>0.36000000000000015</v>
      </c>
      <c r="B38" s="2">
        <f t="shared" si="8"/>
        <v>36</v>
      </c>
      <c r="C38">
        <f t="shared" si="0"/>
        <v>18.095573684677216</v>
      </c>
      <c r="D38">
        <f t="shared" si="1"/>
        <v>-1.7113677648217087</v>
      </c>
      <c r="F38">
        <f t="shared" si="2"/>
        <v>16.587609210954117</v>
      </c>
      <c r="G38">
        <f t="shared" si="3"/>
        <v>-1.9262831069394868</v>
      </c>
      <c r="I38">
        <f t="shared" si="4"/>
        <v>0.33000000000000018</v>
      </c>
      <c r="J38">
        <f t="shared" si="5"/>
        <v>16.587609210954117</v>
      </c>
      <c r="K38">
        <f t="shared" si="6"/>
        <v>-1.9262831069394868</v>
      </c>
    </row>
    <row r="39" spans="1:11" x14ac:dyDescent="0.3">
      <c r="A39" s="2">
        <f t="shared" si="7"/>
        <v>0.37000000000000016</v>
      </c>
      <c r="B39" s="2">
        <f t="shared" si="8"/>
        <v>37</v>
      </c>
      <c r="C39">
        <f t="shared" si="0"/>
        <v>18.598228509251584</v>
      </c>
      <c r="D39">
        <f t="shared" si="1"/>
        <v>-0.62172471791211814</v>
      </c>
      <c r="F39">
        <f t="shared" si="2"/>
        <v>17.090264035528484</v>
      </c>
      <c r="G39">
        <f t="shared" si="3"/>
        <v>-2.4557181268217261</v>
      </c>
      <c r="I39">
        <f t="shared" si="4"/>
        <v>0.34000000000000019</v>
      </c>
      <c r="J39">
        <f t="shared" si="5"/>
        <v>17.090264035528484</v>
      </c>
      <c r="K39">
        <f t="shared" si="6"/>
        <v>-2.4557181268217261</v>
      </c>
    </row>
    <row r="40" spans="1:11" x14ac:dyDescent="0.3">
      <c r="A40" s="2">
        <f t="shared" si="7"/>
        <v>0.38000000000000017</v>
      </c>
      <c r="B40" s="2">
        <f t="shared" si="8"/>
        <v>38</v>
      </c>
      <c r="C40">
        <f t="shared" si="0"/>
        <v>19.100883333825951</v>
      </c>
      <c r="D40">
        <f t="shared" si="1"/>
        <v>0.62172471791215755</v>
      </c>
      <c r="F40">
        <f t="shared" si="2"/>
        <v>17.592918860102852</v>
      </c>
      <c r="G40">
        <f t="shared" si="3"/>
        <v>-2.3776412907378761</v>
      </c>
      <c r="I40">
        <f t="shared" si="4"/>
        <v>0.3500000000000002</v>
      </c>
      <c r="J40">
        <f t="shared" si="5"/>
        <v>17.592918860102852</v>
      </c>
      <c r="K40">
        <f t="shared" si="6"/>
        <v>-2.3776412907378761</v>
      </c>
    </row>
    <row r="41" spans="1:11" x14ac:dyDescent="0.3">
      <c r="A41" s="2">
        <f t="shared" si="7"/>
        <v>0.39000000000000018</v>
      </c>
      <c r="B41" s="2">
        <f t="shared" si="8"/>
        <v>39</v>
      </c>
      <c r="C41">
        <f t="shared" si="0"/>
        <v>19.603538158400319</v>
      </c>
      <c r="D41">
        <f t="shared" si="1"/>
        <v>1.7113677648217385</v>
      </c>
      <c r="F41">
        <f t="shared" si="2"/>
        <v>18.09557368467722</v>
      </c>
      <c r="G41">
        <f t="shared" si="3"/>
        <v>-1.7113677648217025</v>
      </c>
      <c r="I41">
        <f t="shared" si="4"/>
        <v>0.36000000000000021</v>
      </c>
      <c r="J41">
        <f t="shared" si="5"/>
        <v>18.09557368467722</v>
      </c>
      <c r="K41">
        <f t="shared" si="6"/>
        <v>-1.7113677648217025</v>
      </c>
    </row>
    <row r="42" spans="1:11" x14ac:dyDescent="0.3">
      <c r="A42" s="2">
        <f t="shared" si="7"/>
        <v>0.40000000000000019</v>
      </c>
      <c r="B42" s="2">
        <f t="shared" si="8"/>
        <v>40</v>
      </c>
      <c r="C42">
        <f t="shared" si="0"/>
        <v>20.106192982974687</v>
      </c>
      <c r="D42">
        <f t="shared" si="1"/>
        <v>2.3776412907378917</v>
      </c>
      <c r="F42">
        <f t="shared" si="2"/>
        <v>18.598228509251587</v>
      </c>
      <c r="G42">
        <f t="shared" si="3"/>
        <v>-0.62172471791210948</v>
      </c>
      <c r="I42">
        <f t="shared" si="4"/>
        <v>0.37000000000000022</v>
      </c>
      <c r="J42">
        <f t="shared" si="5"/>
        <v>18.598228509251587</v>
      </c>
      <c r="K42">
        <f t="shared" si="6"/>
        <v>-0.62172471791210948</v>
      </c>
    </row>
    <row r="43" spans="1:11" x14ac:dyDescent="0.3">
      <c r="A43" s="2">
        <f t="shared" si="7"/>
        <v>0.4100000000000002</v>
      </c>
      <c r="B43" s="2">
        <f t="shared" si="8"/>
        <v>41</v>
      </c>
      <c r="C43">
        <f t="shared" si="0"/>
        <v>20.608847807549054</v>
      </c>
      <c r="D43">
        <f t="shared" si="1"/>
        <v>2.4557181268217168</v>
      </c>
      <c r="F43">
        <f t="shared" si="2"/>
        <v>19.100883333825955</v>
      </c>
      <c r="G43">
        <f t="shared" si="3"/>
        <v>0.6217247179121661</v>
      </c>
      <c r="I43">
        <f t="shared" si="4"/>
        <v>0.38000000000000023</v>
      </c>
      <c r="J43">
        <f t="shared" si="5"/>
        <v>19.100883333825955</v>
      </c>
      <c r="K43">
        <f t="shared" si="6"/>
        <v>0.6217247179121661</v>
      </c>
    </row>
    <row r="44" spans="1:11" x14ac:dyDescent="0.3">
      <c r="A44" s="2">
        <f t="shared" si="7"/>
        <v>0.42000000000000021</v>
      </c>
      <c r="B44" s="2">
        <f t="shared" si="8"/>
        <v>42</v>
      </c>
      <c r="C44">
        <f t="shared" si="0"/>
        <v>21.111502632123422</v>
      </c>
      <c r="D44">
        <f t="shared" si="1"/>
        <v>1.926283106939455</v>
      </c>
      <c r="F44">
        <f t="shared" si="2"/>
        <v>19.603538158400323</v>
      </c>
      <c r="G44">
        <f t="shared" si="3"/>
        <v>1.7113677648217449</v>
      </c>
      <c r="I44">
        <f t="shared" si="4"/>
        <v>0.39000000000000024</v>
      </c>
      <c r="J44">
        <f t="shared" si="5"/>
        <v>19.603538158400323</v>
      </c>
      <c r="K44">
        <f t="shared" si="6"/>
        <v>1.7113677648217449</v>
      </c>
    </row>
    <row r="45" spans="1:11" x14ac:dyDescent="0.3">
      <c r="A45" s="2">
        <f t="shared" si="7"/>
        <v>0.43000000000000022</v>
      </c>
      <c r="B45" s="2">
        <f t="shared" si="8"/>
        <v>43</v>
      </c>
      <c r="C45">
        <f t="shared" si="0"/>
        <v>21.614157456697786</v>
      </c>
      <c r="D45">
        <f t="shared" si="1"/>
        <v>0.92031138171167537</v>
      </c>
      <c r="F45">
        <f t="shared" si="2"/>
        <v>20.106192982974687</v>
      </c>
      <c r="G45">
        <f t="shared" si="3"/>
        <v>2.3776412907378917</v>
      </c>
      <c r="I45">
        <f t="shared" si="4"/>
        <v>0.40000000000000024</v>
      </c>
      <c r="J45">
        <f t="shared" si="5"/>
        <v>20.106192982974687</v>
      </c>
      <c r="K45">
        <f t="shared" si="6"/>
        <v>2.3776412907378917</v>
      </c>
    </row>
    <row r="46" spans="1:11" x14ac:dyDescent="0.3">
      <c r="A46" s="2">
        <f t="shared" si="7"/>
        <v>0.44000000000000022</v>
      </c>
      <c r="B46" s="2">
        <f t="shared" si="8"/>
        <v>44</v>
      </c>
      <c r="C46">
        <f t="shared" si="0"/>
        <v>22.116812281272153</v>
      </c>
      <c r="D46">
        <f t="shared" si="1"/>
        <v>-0.31333308391078313</v>
      </c>
      <c r="F46">
        <f t="shared" si="2"/>
        <v>20.608847807549054</v>
      </c>
      <c r="G46">
        <f t="shared" si="3"/>
        <v>2.4557181268217168</v>
      </c>
      <c r="I46">
        <f t="shared" si="4"/>
        <v>0.41000000000000025</v>
      </c>
      <c r="J46">
        <f t="shared" si="5"/>
        <v>20.608847807549054</v>
      </c>
      <c r="K46">
        <f t="shared" si="6"/>
        <v>2.4557181268217168</v>
      </c>
    </row>
    <row r="47" spans="1:11" x14ac:dyDescent="0.3">
      <c r="A47" s="2">
        <f t="shared" si="7"/>
        <v>0.45000000000000023</v>
      </c>
      <c r="B47" s="2">
        <f t="shared" si="8"/>
        <v>45</v>
      </c>
      <c r="C47">
        <f t="shared" si="0"/>
        <v>22.619467105846521</v>
      </c>
      <c r="D47">
        <f t="shared" si="1"/>
        <v>-1.4694631307312025</v>
      </c>
      <c r="F47">
        <f t="shared" si="2"/>
        <v>21.111502632123422</v>
      </c>
      <c r="G47">
        <f t="shared" si="3"/>
        <v>1.926283106939455</v>
      </c>
      <c r="I47">
        <f t="shared" si="4"/>
        <v>0.42000000000000026</v>
      </c>
      <c r="J47">
        <f t="shared" si="5"/>
        <v>21.111502632123422</v>
      </c>
      <c r="K47">
        <f t="shared" si="6"/>
        <v>1.926283106939455</v>
      </c>
    </row>
    <row r="48" spans="1:11" x14ac:dyDescent="0.3">
      <c r="A48" s="2">
        <f t="shared" si="7"/>
        <v>0.46000000000000024</v>
      </c>
      <c r="B48" s="2">
        <f t="shared" si="8"/>
        <v>46</v>
      </c>
      <c r="C48">
        <f t="shared" si="0"/>
        <v>23.122121930420889</v>
      </c>
      <c r="D48">
        <f t="shared" si="1"/>
        <v>-2.2620676311650598</v>
      </c>
      <c r="F48">
        <f t="shared" si="2"/>
        <v>21.614157456697789</v>
      </c>
      <c r="G48">
        <f t="shared" si="3"/>
        <v>0.92031138171166715</v>
      </c>
      <c r="I48">
        <f t="shared" si="4"/>
        <v>0.43000000000000027</v>
      </c>
      <c r="J48">
        <f t="shared" si="5"/>
        <v>21.614157456697789</v>
      </c>
      <c r="K48">
        <f t="shared" si="6"/>
        <v>0.92031138171166715</v>
      </c>
    </row>
    <row r="49" spans="1:11" x14ac:dyDescent="0.3">
      <c r="A49" s="2">
        <f t="shared" si="7"/>
        <v>0.47000000000000025</v>
      </c>
      <c r="B49" s="2">
        <f t="shared" si="8"/>
        <v>47</v>
      </c>
      <c r="C49">
        <f t="shared" si="0"/>
        <v>23.624776754995256</v>
      </c>
      <c r="D49">
        <f t="shared" si="1"/>
        <v>-2.4950668210706772</v>
      </c>
      <c r="F49">
        <f t="shared" si="2"/>
        <v>22.116812281272157</v>
      </c>
      <c r="G49">
        <f t="shared" si="3"/>
        <v>-0.31333308391079195</v>
      </c>
      <c r="I49">
        <f t="shared" si="4"/>
        <v>0.44000000000000028</v>
      </c>
      <c r="J49">
        <f t="shared" si="5"/>
        <v>22.116812281272157</v>
      </c>
      <c r="K49">
        <f t="shared" si="6"/>
        <v>-0.31333308391079195</v>
      </c>
    </row>
    <row r="50" spans="1:11" x14ac:dyDescent="0.3">
      <c r="A50" s="2">
        <f t="shared" si="7"/>
        <v>0.48000000000000026</v>
      </c>
      <c r="B50" s="2">
        <f t="shared" si="8"/>
        <v>48</v>
      </c>
      <c r="C50">
        <f t="shared" si="0"/>
        <v>24.127431579569624</v>
      </c>
      <c r="D50">
        <f t="shared" si="1"/>
        <v>-2.1108198137550218</v>
      </c>
      <c r="F50">
        <f t="shared" si="2"/>
        <v>22.619467105846525</v>
      </c>
      <c r="G50">
        <f t="shared" si="3"/>
        <v>-1.4694631307312098</v>
      </c>
      <c r="I50">
        <f t="shared" si="4"/>
        <v>0.45000000000000029</v>
      </c>
      <c r="J50">
        <f t="shared" si="5"/>
        <v>22.619467105846525</v>
      </c>
      <c r="K50">
        <f t="shared" si="6"/>
        <v>-1.4694631307312098</v>
      </c>
    </row>
    <row r="51" spans="1:11" x14ac:dyDescent="0.3">
      <c r="A51" s="2">
        <f t="shared" si="7"/>
        <v>0.49000000000000027</v>
      </c>
      <c r="B51" s="2">
        <f t="shared" si="8"/>
        <v>49</v>
      </c>
      <c r="C51">
        <f t="shared" si="0"/>
        <v>24.630086404143992</v>
      </c>
      <c r="D51">
        <f t="shared" si="1"/>
        <v>-1.2043841852542607</v>
      </c>
      <c r="F51">
        <f t="shared" si="2"/>
        <v>23.122121930420892</v>
      </c>
      <c r="G51">
        <f t="shared" si="3"/>
        <v>-2.2620676311650638</v>
      </c>
      <c r="I51">
        <f t="shared" si="4"/>
        <v>0.4600000000000003</v>
      </c>
      <c r="J51">
        <f t="shared" si="5"/>
        <v>23.122121930420892</v>
      </c>
      <c r="K51">
        <f t="shared" si="6"/>
        <v>-2.2620676311650638</v>
      </c>
    </row>
    <row r="52" spans="1:11" x14ac:dyDescent="0.3">
      <c r="A52" s="2">
        <f t="shared" si="7"/>
        <v>0.50000000000000022</v>
      </c>
      <c r="B52" s="2">
        <f t="shared" si="8"/>
        <v>50</v>
      </c>
      <c r="C52">
        <f t="shared" si="0"/>
        <v>25.132741228718356</v>
      </c>
      <c r="D52">
        <f t="shared" si="1"/>
        <v>2.4195055681186517E-14</v>
      </c>
      <c r="F52">
        <f t="shared" si="2"/>
        <v>23.624776754995253</v>
      </c>
      <c r="G52">
        <f t="shared" si="3"/>
        <v>-2.4950668210706777</v>
      </c>
      <c r="I52">
        <f t="shared" si="4"/>
        <v>0.4700000000000002</v>
      </c>
      <c r="J52">
        <f t="shared" si="5"/>
        <v>23.624776754995253</v>
      </c>
      <c r="K52">
        <f t="shared" si="6"/>
        <v>-2.4950668210706777</v>
      </c>
    </row>
    <row r="53" spans="1:11" x14ac:dyDescent="0.3">
      <c r="A53" s="2">
        <f t="shared" si="7"/>
        <v>0.51000000000000023</v>
      </c>
      <c r="B53" s="2">
        <f t="shared" si="8"/>
        <v>51</v>
      </c>
      <c r="C53">
        <f t="shared" si="0"/>
        <v>25.635396053292723</v>
      </c>
      <c r="D53">
        <f t="shared" si="1"/>
        <v>1.2043841852543109</v>
      </c>
      <c r="F53">
        <f t="shared" si="2"/>
        <v>24.12743157956962</v>
      </c>
      <c r="G53">
        <f t="shared" si="3"/>
        <v>-2.1108198137550267</v>
      </c>
      <c r="I53">
        <f t="shared" si="4"/>
        <v>0.4800000000000002</v>
      </c>
      <c r="J53">
        <f t="shared" si="5"/>
        <v>24.12743157956962</v>
      </c>
      <c r="K53">
        <f t="shared" si="6"/>
        <v>-2.1108198137550267</v>
      </c>
    </row>
    <row r="54" spans="1:11" x14ac:dyDescent="0.3">
      <c r="A54" s="2">
        <f t="shared" si="7"/>
        <v>0.52000000000000024</v>
      </c>
      <c r="B54" s="2">
        <f t="shared" si="8"/>
        <v>52</v>
      </c>
      <c r="C54">
        <f t="shared" si="0"/>
        <v>26.138050877867091</v>
      </c>
      <c r="D54">
        <f t="shared" si="1"/>
        <v>2.1108198137550525</v>
      </c>
      <c r="F54">
        <f t="shared" si="2"/>
        <v>24.630086404143988</v>
      </c>
      <c r="G54">
        <f t="shared" si="3"/>
        <v>-1.2043841852542685</v>
      </c>
      <c r="I54">
        <f t="shared" si="4"/>
        <v>0.49000000000000021</v>
      </c>
      <c r="J54">
        <f t="shared" si="5"/>
        <v>24.630086404143988</v>
      </c>
      <c r="K54">
        <f t="shared" si="6"/>
        <v>-1.2043841852542685</v>
      </c>
    </row>
    <row r="55" spans="1:11" x14ac:dyDescent="0.3">
      <c r="A55" s="2">
        <f t="shared" si="7"/>
        <v>0.53000000000000025</v>
      </c>
      <c r="B55" s="2">
        <f t="shared" si="8"/>
        <v>53</v>
      </c>
      <c r="C55">
        <f t="shared" si="0"/>
        <v>26.640705702441458</v>
      </c>
      <c r="D55">
        <f t="shared" si="1"/>
        <v>2.4950668210706808</v>
      </c>
      <c r="F55">
        <f t="shared" si="2"/>
        <v>25.132741228718356</v>
      </c>
      <c r="G55">
        <f t="shared" si="3"/>
        <v>2.4195055681186517E-14</v>
      </c>
      <c r="I55">
        <f t="shared" si="4"/>
        <v>0.50000000000000022</v>
      </c>
      <c r="J55">
        <f t="shared" si="5"/>
        <v>25.132741228718356</v>
      </c>
      <c r="K55">
        <f t="shared" si="6"/>
        <v>2.4195055681186517E-14</v>
      </c>
    </row>
    <row r="56" spans="1:11" x14ac:dyDescent="0.3">
      <c r="A56" s="2">
        <f t="shared" si="7"/>
        <v>0.54000000000000026</v>
      </c>
      <c r="B56" s="2">
        <f t="shared" si="8"/>
        <v>54</v>
      </c>
      <c r="C56">
        <f t="shared" si="0"/>
        <v>27.143360527015826</v>
      </c>
      <c r="D56">
        <f t="shared" si="1"/>
        <v>2.2620676311650358</v>
      </c>
      <c r="F56">
        <f t="shared" si="2"/>
        <v>25.635396053292723</v>
      </c>
      <c r="G56">
        <f t="shared" si="3"/>
        <v>1.2043841852543109</v>
      </c>
      <c r="I56">
        <f t="shared" si="4"/>
        <v>0.51000000000000023</v>
      </c>
      <c r="J56">
        <f t="shared" si="5"/>
        <v>25.635396053292723</v>
      </c>
      <c r="K56">
        <f t="shared" si="6"/>
        <v>1.2043841852543109</v>
      </c>
    </row>
    <row r="57" spans="1:11" x14ac:dyDescent="0.3">
      <c r="A57" s="2">
        <f t="shared" si="7"/>
        <v>0.55000000000000027</v>
      </c>
      <c r="B57" s="2">
        <f t="shared" si="8"/>
        <v>55</v>
      </c>
      <c r="C57">
        <f t="shared" si="0"/>
        <v>27.646015351590194</v>
      </c>
      <c r="D57">
        <f t="shared" si="1"/>
        <v>1.4694631307311563</v>
      </c>
      <c r="F57">
        <f t="shared" si="2"/>
        <v>26.138050877867091</v>
      </c>
      <c r="G57">
        <f t="shared" si="3"/>
        <v>2.1108198137550525</v>
      </c>
      <c r="I57">
        <f t="shared" si="4"/>
        <v>0.52000000000000024</v>
      </c>
      <c r="J57">
        <f t="shared" si="5"/>
        <v>26.138050877867091</v>
      </c>
      <c r="K57">
        <f t="shared" si="6"/>
        <v>2.1108198137550525</v>
      </c>
    </row>
    <row r="58" spans="1:11" x14ac:dyDescent="0.3">
      <c r="A58" s="2">
        <f t="shared" si="7"/>
        <v>0.56000000000000028</v>
      </c>
      <c r="B58" s="2">
        <f t="shared" si="8"/>
        <v>56</v>
      </c>
      <c r="C58">
        <f t="shared" si="0"/>
        <v>28.148670176164561</v>
      </c>
      <c r="D58">
        <f t="shared" si="1"/>
        <v>0.31333308391072628</v>
      </c>
      <c r="F58">
        <f t="shared" si="2"/>
        <v>26.640705702441458</v>
      </c>
      <c r="G58">
        <f t="shared" si="3"/>
        <v>2.4950668210706808</v>
      </c>
      <c r="I58">
        <f t="shared" si="4"/>
        <v>0.53000000000000025</v>
      </c>
      <c r="J58">
        <f t="shared" si="5"/>
        <v>26.640705702441458</v>
      </c>
      <c r="K58">
        <f t="shared" si="6"/>
        <v>2.4950668210706808</v>
      </c>
    </row>
    <row r="59" spans="1:11" x14ac:dyDescent="0.3">
      <c r="A59" s="2">
        <f t="shared" si="7"/>
        <v>0.57000000000000028</v>
      </c>
      <c r="B59" s="2">
        <f t="shared" si="8"/>
        <v>57</v>
      </c>
      <c r="C59">
        <f t="shared" si="0"/>
        <v>28.651325000738929</v>
      </c>
      <c r="D59">
        <f t="shared" si="1"/>
        <v>-0.92031138171172866</v>
      </c>
      <c r="F59">
        <f t="shared" si="2"/>
        <v>27.143360527015826</v>
      </c>
      <c r="G59">
        <f t="shared" si="3"/>
        <v>2.2620676311650358</v>
      </c>
      <c r="I59">
        <f t="shared" si="4"/>
        <v>0.54000000000000026</v>
      </c>
      <c r="J59">
        <f t="shared" si="5"/>
        <v>27.143360527015826</v>
      </c>
      <c r="K59">
        <f t="shared" si="6"/>
        <v>2.2620676311650358</v>
      </c>
    </row>
    <row r="60" spans="1:11" x14ac:dyDescent="0.3">
      <c r="A60" s="2">
        <f t="shared" si="7"/>
        <v>0.58000000000000029</v>
      </c>
      <c r="B60" s="2">
        <f t="shared" si="8"/>
        <v>58</v>
      </c>
      <c r="C60">
        <f t="shared" si="0"/>
        <v>29.153979825313296</v>
      </c>
      <c r="D60">
        <f t="shared" si="1"/>
        <v>-1.9262831069394972</v>
      </c>
      <c r="F60">
        <f t="shared" si="2"/>
        <v>27.646015351590194</v>
      </c>
      <c r="G60">
        <f t="shared" si="3"/>
        <v>1.4694631307311563</v>
      </c>
      <c r="I60">
        <f t="shared" si="4"/>
        <v>0.55000000000000027</v>
      </c>
      <c r="J60">
        <f t="shared" si="5"/>
        <v>27.646015351590194</v>
      </c>
      <c r="K60">
        <f t="shared" si="6"/>
        <v>1.4694631307311563</v>
      </c>
    </row>
    <row r="61" spans="1:11" x14ac:dyDescent="0.3">
      <c r="A61" s="2">
        <f t="shared" si="7"/>
        <v>0.5900000000000003</v>
      </c>
      <c r="B61" s="2">
        <f t="shared" si="8"/>
        <v>59</v>
      </c>
      <c r="C61">
        <f t="shared" si="0"/>
        <v>29.656634649887661</v>
      </c>
      <c r="D61">
        <f t="shared" si="1"/>
        <v>-2.4557181268217274</v>
      </c>
      <c r="F61">
        <f t="shared" si="2"/>
        <v>28.148670176164561</v>
      </c>
      <c r="G61">
        <f t="shared" si="3"/>
        <v>0.31333308391072628</v>
      </c>
      <c r="I61">
        <f t="shared" si="4"/>
        <v>0.56000000000000028</v>
      </c>
      <c r="J61">
        <f t="shared" si="5"/>
        <v>28.148670176164561</v>
      </c>
      <c r="K61">
        <f t="shared" si="6"/>
        <v>0.31333308391072628</v>
      </c>
    </row>
    <row r="62" spans="1:11" x14ac:dyDescent="0.3">
      <c r="A62" s="2">
        <f t="shared" si="7"/>
        <v>0.60000000000000031</v>
      </c>
      <c r="B62" s="2">
        <f t="shared" si="8"/>
        <v>60</v>
      </c>
      <c r="C62">
        <f t="shared" si="0"/>
        <v>30.159289474462028</v>
      </c>
      <c r="D62">
        <f t="shared" si="1"/>
        <v>-2.3776412907378739</v>
      </c>
      <c r="F62">
        <f t="shared" si="2"/>
        <v>28.651325000738929</v>
      </c>
      <c r="G62">
        <f t="shared" si="3"/>
        <v>-0.92031138171172866</v>
      </c>
      <c r="I62">
        <f t="shared" si="4"/>
        <v>0.57000000000000028</v>
      </c>
      <c r="J62">
        <f t="shared" si="5"/>
        <v>28.651325000738929</v>
      </c>
      <c r="K62">
        <f t="shared" si="6"/>
        <v>-0.92031138171172866</v>
      </c>
    </row>
    <row r="63" spans="1:11" x14ac:dyDescent="0.3">
      <c r="A63" s="2">
        <f t="shared" si="7"/>
        <v>0.61000000000000032</v>
      </c>
      <c r="B63" s="2">
        <f t="shared" si="8"/>
        <v>61</v>
      </c>
      <c r="C63">
        <f t="shared" si="0"/>
        <v>30.661944299036396</v>
      </c>
      <c r="D63">
        <f t="shared" si="1"/>
        <v>-1.7113677648216965</v>
      </c>
      <c r="F63">
        <f t="shared" si="2"/>
        <v>29.153979825313296</v>
      </c>
      <c r="G63">
        <f t="shared" si="3"/>
        <v>-1.9262831069394972</v>
      </c>
      <c r="I63">
        <f t="shared" si="4"/>
        <v>0.58000000000000029</v>
      </c>
      <c r="J63">
        <f t="shared" si="5"/>
        <v>29.153979825313296</v>
      </c>
      <c r="K63">
        <f t="shared" si="6"/>
        <v>-1.9262831069394972</v>
      </c>
    </row>
    <row r="64" spans="1:11" x14ac:dyDescent="0.3">
      <c r="A64" s="2">
        <f t="shared" si="7"/>
        <v>0.62000000000000033</v>
      </c>
      <c r="B64" s="2">
        <f t="shared" si="8"/>
        <v>62</v>
      </c>
      <c r="C64">
        <f t="shared" si="0"/>
        <v>31.164599123610763</v>
      </c>
      <c r="D64">
        <f t="shared" si="1"/>
        <v>-0.62172471791210204</v>
      </c>
      <c r="F64">
        <f t="shared" si="2"/>
        <v>29.656634649887661</v>
      </c>
      <c r="G64">
        <f t="shared" si="3"/>
        <v>-2.4557181268217274</v>
      </c>
      <c r="I64">
        <f t="shared" si="4"/>
        <v>0.5900000000000003</v>
      </c>
      <c r="J64">
        <f t="shared" si="5"/>
        <v>29.656634649887661</v>
      </c>
      <c r="K64">
        <f t="shared" si="6"/>
        <v>-2.4557181268217274</v>
      </c>
    </row>
    <row r="65" spans="1:11" x14ac:dyDescent="0.3">
      <c r="A65" s="2">
        <f t="shared" si="7"/>
        <v>0.63000000000000034</v>
      </c>
      <c r="B65" s="2">
        <f t="shared" si="8"/>
        <v>63</v>
      </c>
      <c r="C65">
        <f t="shared" si="0"/>
        <v>31.667253948185131</v>
      </c>
      <c r="D65">
        <f t="shared" si="1"/>
        <v>0.62172471791217354</v>
      </c>
      <c r="F65">
        <f t="shared" si="2"/>
        <v>30.159289474462028</v>
      </c>
      <c r="G65">
        <f t="shared" si="3"/>
        <v>-2.3776412907378739</v>
      </c>
      <c r="I65">
        <f t="shared" si="4"/>
        <v>0.60000000000000031</v>
      </c>
      <c r="J65">
        <f t="shared" si="5"/>
        <v>30.159289474462028</v>
      </c>
      <c r="K65">
        <f t="shared" si="6"/>
        <v>-2.3776412907378739</v>
      </c>
    </row>
    <row r="66" spans="1:11" x14ac:dyDescent="0.3">
      <c r="A66" s="2">
        <f t="shared" si="7"/>
        <v>0.64000000000000035</v>
      </c>
      <c r="B66" s="2">
        <f t="shared" si="8"/>
        <v>64</v>
      </c>
      <c r="C66">
        <f t="shared" si="0"/>
        <v>32.169908772759499</v>
      </c>
      <c r="D66">
        <f t="shared" si="1"/>
        <v>1.7113677648217505</v>
      </c>
      <c r="F66">
        <f t="shared" si="2"/>
        <v>30.661944299036396</v>
      </c>
      <c r="G66">
        <f t="shared" si="3"/>
        <v>-1.7113677648216965</v>
      </c>
      <c r="I66">
        <f t="shared" si="4"/>
        <v>0.61000000000000032</v>
      </c>
      <c r="J66">
        <f t="shared" si="5"/>
        <v>30.661944299036396</v>
      </c>
      <c r="K66">
        <f t="shared" si="6"/>
        <v>-1.7113677648216965</v>
      </c>
    </row>
    <row r="67" spans="1:11" x14ac:dyDescent="0.3">
      <c r="A67" s="2">
        <f t="shared" si="7"/>
        <v>0.65000000000000036</v>
      </c>
      <c r="B67" s="2">
        <f t="shared" si="8"/>
        <v>65</v>
      </c>
      <c r="C67">
        <f t="shared" ref="C67:C102" si="9">2*PI()*8*A67</f>
        <v>32.67256359733387</v>
      </c>
      <c r="D67">
        <f t="shared" ref="D67:D102" si="10">2.5*SIN(C67)</f>
        <v>2.3776412907378992</v>
      </c>
      <c r="F67">
        <f t="shared" ref="F67:F102" si="11">2*PI()*8*(A67-0.03)</f>
        <v>31.164599123610763</v>
      </c>
      <c r="G67">
        <f t="shared" ref="G67:G102" si="12">2.5*SIN(F67)</f>
        <v>-0.62172471791210204</v>
      </c>
      <c r="I67">
        <f t="shared" ref="I67:I102" si="13">A67-0.03</f>
        <v>0.62000000000000033</v>
      </c>
      <c r="J67">
        <f t="shared" ref="J67:J102" si="14">2*PI()*8*I67</f>
        <v>31.164599123610763</v>
      </c>
      <c r="K67">
        <f t="shared" ref="K67:K102" si="15">2.5*SIN(J67)</f>
        <v>-0.62172471791210204</v>
      </c>
    </row>
    <row r="68" spans="1:11" x14ac:dyDescent="0.3">
      <c r="A68" s="2">
        <f t="shared" ref="A68:A102" si="16">A67+0.01</f>
        <v>0.66000000000000036</v>
      </c>
      <c r="B68" s="2">
        <f t="shared" ref="B68:B102" si="17">B67+1</f>
        <v>66</v>
      </c>
      <c r="C68">
        <f t="shared" si="9"/>
        <v>33.175218421908234</v>
      </c>
      <c r="D68">
        <f t="shared" si="10"/>
        <v>2.4557181268217136</v>
      </c>
      <c r="F68">
        <f t="shared" si="11"/>
        <v>31.667253948185131</v>
      </c>
      <c r="G68">
        <f t="shared" si="12"/>
        <v>0.62172471791217354</v>
      </c>
      <c r="I68">
        <f t="shared" si="13"/>
        <v>0.63000000000000034</v>
      </c>
      <c r="J68">
        <f t="shared" si="14"/>
        <v>31.667253948185131</v>
      </c>
      <c r="K68">
        <f t="shared" si="15"/>
        <v>0.62172471791217354</v>
      </c>
    </row>
    <row r="69" spans="1:11" x14ac:dyDescent="0.3">
      <c r="A69" s="2">
        <f t="shared" si="16"/>
        <v>0.67000000000000037</v>
      </c>
      <c r="B69" s="2">
        <f t="shared" si="17"/>
        <v>67</v>
      </c>
      <c r="C69">
        <f t="shared" si="9"/>
        <v>33.677873246482598</v>
      </c>
      <c r="D69">
        <f t="shared" si="10"/>
        <v>1.9262831069394504</v>
      </c>
      <c r="F69">
        <f t="shared" si="11"/>
        <v>32.169908772759499</v>
      </c>
      <c r="G69">
        <f t="shared" si="12"/>
        <v>1.7113677648217505</v>
      </c>
      <c r="I69">
        <f t="shared" si="13"/>
        <v>0.64000000000000035</v>
      </c>
      <c r="J69">
        <f t="shared" si="14"/>
        <v>32.169908772759499</v>
      </c>
      <c r="K69">
        <f t="shared" si="15"/>
        <v>1.7113677648217505</v>
      </c>
    </row>
    <row r="70" spans="1:11" x14ac:dyDescent="0.3">
      <c r="A70" s="2">
        <f t="shared" si="16"/>
        <v>0.68000000000000038</v>
      </c>
      <c r="B70" s="2">
        <f t="shared" si="17"/>
        <v>68</v>
      </c>
      <c r="C70">
        <f t="shared" si="9"/>
        <v>34.180528071056969</v>
      </c>
      <c r="D70">
        <f t="shared" si="10"/>
        <v>0.92031138171165172</v>
      </c>
      <c r="F70">
        <f t="shared" si="11"/>
        <v>32.67256359733387</v>
      </c>
      <c r="G70">
        <f t="shared" si="12"/>
        <v>2.3776412907378992</v>
      </c>
      <c r="I70">
        <f t="shared" si="13"/>
        <v>0.65000000000000036</v>
      </c>
      <c r="J70">
        <f t="shared" si="14"/>
        <v>32.67256359733387</v>
      </c>
      <c r="K70">
        <f t="shared" si="15"/>
        <v>2.3776412907378992</v>
      </c>
    </row>
    <row r="71" spans="1:11" x14ac:dyDescent="0.3">
      <c r="A71" s="2">
        <f t="shared" si="16"/>
        <v>0.69000000000000039</v>
      </c>
      <c r="B71" s="2">
        <f t="shared" si="17"/>
        <v>69</v>
      </c>
      <c r="C71">
        <f t="shared" si="9"/>
        <v>34.683182895631333</v>
      </c>
      <c r="D71">
        <f t="shared" si="10"/>
        <v>-0.31333308391079956</v>
      </c>
      <c r="F71">
        <f t="shared" si="11"/>
        <v>33.175218421908234</v>
      </c>
      <c r="G71">
        <f t="shared" si="12"/>
        <v>2.4557181268217136</v>
      </c>
      <c r="I71">
        <f t="shared" si="13"/>
        <v>0.66000000000000036</v>
      </c>
      <c r="J71">
        <f t="shared" si="14"/>
        <v>33.175218421908234</v>
      </c>
      <c r="K71">
        <f t="shared" si="15"/>
        <v>2.4557181268217136</v>
      </c>
    </row>
    <row r="72" spans="1:11" x14ac:dyDescent="0.3">
      <c r="A72" s="2">
        <f t="shared" si="16"/>
        <v>0.7000000000000004</v>
      </c>
      <c r="B72" s="2">
        <f t="shared" si="17"/>
        <v>70</v>
      </c>
      <c r="C72">
        <f t="shared" si="9"/>
        <v>35.185837720205704</v>
      </c>
      <c r="D72">
        <f t="shared" si="10"/>
        <v>-1.4694631307312231</v>
      </c>
      <c r="F72">
        <f t="shared" si="11"/>
        <v>33.677873246482598</v>
      </c>
      <c r="G72">
        <f t="shared" si="12"/>
        <v>1.9262831069394504</v>
      </c>
      <c r="I72">
        <f t="shared" si="13"/>
        <v>0.67000000000000037</v>
      </c>
      <c r="J72">
        <f t="shared" si="14"/>
        <v>33.677873246482598</v>
      </c>
      <c r="K72">
        <f t="shared" si="15"/>
        <v>1.9262831069394504</v>
      </c>
    </row>
    <row r="73" spans="1:11" x14ac:dyDescent="0.3">
      <c r="A73" s="2">
        <f t="shared" si="16"/>
        <v>0.71000000000000041</v>
      </c>
      <c r="B73" s="2">
        <f t="shared" si="17"/>
        <v>71</v>
      </c>
      <c r="C73">
        <f t="shared" si="9"/>
        <v>35.688492544780068</v>
      </c>
      <c r="D73">
        <f t="shared" si="10"/>
        <v>-2.2620676311650669</v>
      </c>
      <c r="F73">
        <f t="shared" si="11"/>
        <v>34.180528071056969</v>
      </c>
      <c r="G73">
        <f t="shared" si="12"/>
        <v>0.92031138171165172</v>
      </c>
      <c r="I73">
        <f t="shared" si="13"/>
        <v>0.68000000000000038</v>
      </c>
      <c r="J73">
        <f t="shared" si="14"/>
        <v>34.180528071056969</v>
      </c>
      <c r="K73">
        <f t="shared" si="15"/>
        <v>0.92031138171165172</v>
      </c>
    </row>
    <row r="74" spans="1:11" x14ac:dyDescent="0.3">
      <c r="A74" s="2">
        <f t="shared" si="16"/>
        <v>0.72000000000000042</v>
      </c>
      <c r="B74" s="2">
        <f t="shared" si="17"/>
        <v>72</v>
      </c>
      <c r="C74">
        <f t="shared" si="9"/>
        <v>36.191147369354439</v>
      </c>
      <c r="D74">
        <f t="shared" si="10"/>
        <v>-2.4950668210706755</v>
      </c>
      <c r="F74">
        <f t="shared" si="11"/>
        <v>34.683182895631333</v>
      </c>
      <c r="G74">
        <f t="shared" si="12"/>
        <v>-0.31333308391079956</v>
      </c>
      <c r="I74">
        <f t="shared" si="13"/>
        <v>0.69000000000000039</v>
      </c>
      <c r="J74">
        <f t="shared" si="14"/>
        <v>34.683182895631333</v>
      </c>
      <c r="K74">
        <f t="shared" si="15"/>
        <v>-0.31333308391079956</v>
      </c>
    </row>
    <row r="75" spans="1:11" x14ac:dyDescent="0.3">
      <c r="A75" s="2">
        <f t="shared" si="16"/>
        <v>0.73000000000000043</v>
      </c>
      <c r="B75" s="2">
        <f t="shared" si="17"/>
        <v>73</v>
      </c>
      <c r="C75">
        <f t="shared" si="9"/>
        <v>36.693802193928803</v>
      </c>
      <c r="D75">
        <f t="shared" si="10"/>
        <v>-2.1108198137550129</v>
      </c>
      <c r="F75">
        <f t="shared" si="11"/>
        <v>35.185837720205704</v>
      </c>
      <c r="G75">
        <f t="shared" si="12"/>
        <v>-1.4694631307312231</v>
      </c>
      <c r="I75">
        <f t="shared" si="13"/>
        <v>0.7000000000000004</v>
      </c>
      <c r="J75">
        <f t="shared" si="14"/>
        <v>35.185837720205704</v>
      </c>
      <c r="K75">
        <f t="shared" si="15"/>
        <v>-1.4694631307312231</v>
      </c>
    </row>
    <row r="76" spans="1:11" x14ac:dyDescent="0.3">
      <c r="A76" s="2">
        <f t="shared" si="16"/>
        <v>0.74000000000000044</v>
      </c>
      <c r="B76" s="2">
        <f t="shared" si="17"/>
        <v>74</v>
      </c>
      <c r="C76">
        <f t="shared" si="9"/>
        <v>37.196457018503175</v>
      </c>
      <c r="D76">
        <f t="shared" si="10"/>
        <v>-1.2043841852542385</v>
      </c>
      <c r="F76">
        <f t="shared" si="11"/>
        <v>35.688492544780068</v>
      </c>
      <c r="G76">
        <f t="shared" si="12"/>
        <v>-2.2620676311650669</v>
      </c>
      <c r="I76">
        <f t="shared" si="13"/>
        <v>0.71000000000000041</v>
      </c>
      <c r="J76">
        <f t="shared" si="14"/>
        <v>35.688492544780068</v>
      </c>
      <c r="K76">
        <f t="shared" si="15"/>
        <v>-2.2620676311650669</v>
      </c>
    </row>
    <row r="77" spans="1:11" x14ac:dyDescent="0.3">
      <c r="A77" s="2">
        <f t="shared" si="16"/>
        <v>0.75000000000000044</v>
      </c>
      <c r="B77" s="2">
        <f t="shared" si="17"/>
        <v>75</v>
      </c>
      <c r="C77">
        <f t="shared" si="9"/>
        <v>37.699111843077539</v>
      </c>
      <c r="D77">
        <f t="shared" si="10"/>
        <v>4.9615259817281654E-14</v>
      </c>
      <c r="F77">
        <f t="shared" si="11"/>
        <v>36.191147369354439</v>
      </c>
      <c r="G77">
        <f t="shared" si="12"/>
        <v>-2.4950668210706755</v>
      </c>
      <c r="I77">
        <f t="shared" si="13"/>
        <v>0.72000000000000042</v>
      </c>
      <c r="J77">
        <f t="shared" si="14"/>
        <v>36.191147369354439</v>
      </c>
      <c r="K77">
        <f t="shared" si="15"/>
        <v>-2.4950668210706755</v>
      </c>
    </row>
    <row r="78" spans="1:11" x14ac:dyDescent="0.3">
      <c r="A78" s="2">
        <f t="shared" si="16"/>
        <v>0.76000000000000045</v>
      </c>
      <c r="B78" s="2">
        <f t="shared" si="17"/>
        <v>76</v>
      </c>
      <c r="C78">
        <f t="shared" si="9"/>
        <v>38.20176666765191</v>
      </c>
      <c r="D78">
        <f t="shared" si="10"/>
        <v>1.2043841852543409</v>
      </c>
      <c r="F78">
        <f t="shared" si="11"/>
        <v>36.693802193928803</v>
      </c>
      <c r="G78">
        <f t="shared" si="12"/>
        <v>-2.1108198137550129</v>
      </c>
      <c r="I78">
        <f t="shared" si="13"/>
        <v>0.73000000000000043</v>
      </c>
      <c r="J78">
        <f t="shared" si="14"/>
        <v>36.693802193928803</v>
      </c>
      <c r="K78">
        <f t="shared" si="15"/>
        <v>-2.1108198137550129</v>
      </c>
    </row>
    <row r="79" spans="1:11" x14ac:dyDescent="0.3">
      <c r="A79" s="2">
        <f t="shared" si="16"/>
        <v>0.77000000000000046</v>
      </c>
      <c r="B79" s="2">
        <f t="shared" si="17"/>
        <v>77</v>
      </c>
      <c r="C79">
        <f t="shared" si="9"/>
        <v>38.704421492226274</v>
      </c>
      <c r="D79">
        <f t="shared" si="10"/>
        <v>2.1108198137550662</v>
      </c>
      <c r="F79">
        <f t="shared" si="11"/>
        <v>37.196457018503175</v>
      </c>
      <c r="G79">
        <f t="shared" si="12"/>
        <v>-1.2043841852542385</v>
      </c>
      <c r="I79">
        <f t="shared" si="13"/>
        <v>0.74000000000000044</v>
      </c>
      <c r="J79">
        <f t="shared" si="14"/>
        <v>37.196457018503175</v>
      </c>
      <c r="K79">
        <f t="shared" si="15"/>
        <v>-1.2043841852542385</v>
      </c>
    </row>
    <row r="80" spans="1:11" x14ac:dyDescent="0.3">
      <c r="A80" s="2">
        <f t="shared" si="16"/>
        <v>0.78000000000000047</v>
      </c>
      <c r="B80" s="2">
        <f t="shared" si="17"/>
        <v>78</v>
      </c>
      <c r="C80">
        <f t="shared" si="9"/>
        <v>39.207076316800645</v>
      </c>
      <c r="D80">
        <f t="shared" si="10"/>
        <v>2.495066821070683</v>
      </c>
      <c r="F80">
        <f t="shared" si="11"/>
        <v>37.699111843077539</v>
      </c>
      <c r="G80">
        <f t="shared" si="12"/>
        <v>4.9615259817281654E-14</v>
      </c>
      <c r="I80">
        <f t="shared" si="13"/>
        <v>0.75000000000000044</v>
      </c>
      <c r="J80">
        <f t="shared" si="14"/>
        <v>37.699111843077539</v>
      </c>
      <c r="K80">
        <f t="shared" si="15"/>
        <v>4.9615259817281654E-14</v>
      </c>
    </row>
    <row r="81" spans="1:11" x14ac:dyDescent="0.3">
      <c r="A81" s="2">
        <f t="shared" si="16"/>
        <v>0.79000000000000048</v>
      </c>
      <c r="B81" s="2">
        <f t="shared" si="17"/>
        <v>79</v>
      </c>
      <c r="C81">
        <f t="shared" si="9"/>
        <v>39.709731141375009</v>
      </c>
      <c r="D81">
        <f t="shared" si="10"/>
        <v>2.2620676311650247</v>
      </c>
      <c r="F81">
        <f t="shared" si="11"/>
        <v>38.20176666765191</v>
      </c>
      <c r="G81">
        <f t="shared" si="12"/>
        <v>1.2043841852543409</v>
      </c>
      <c r="I81">
        <f t="shared" si="13"/>
        <v>0.76000000000000045</v>
      </c>
      <c r="J81">
        <f t="shared" si="14"/>
        <v>38.20176666765191</v>
      </c>
      <c r="K81">
        <f t="shared" si="15"/>
        <v>1.2043841852543409</v>
      </c>
    </row>
    <row r="82" spans="1:11" x14ac:dyDescent="0.3">
      <c r="A82" s="2">
        <f t="shared" si="16"/>
        <v>0.80000000000000049</v>
      </c>
      <c r="B82" s="2">
        <f t="shared" si="17"/>
        <v>80</v>
      </c>
      <c r="C82">
        <f t="shared" si="9"/>
        <v>40.212385965949373</v>
      </c>
      <c r="D82">
        <f t="shared" si="10"/>
        <v>1.469463130731143</v>
      </c>
      <c r="F82">
        <f t="shared" si="11"/>
        <v>38.704421492226274</v>
      </c>
      <c r="G82">
        <f t="shared" si="12"/>
        <v>2.1108198137550662</v>
      </c>
      <c r="I82">
        <f t="shared" si="13"/>
        <v>0.77000000000000046</v>
      </c>
      <c r="J82">
        <f t="shared" si="14"/>
        <v>38.704421492226274</v>
      </c>
      <c r="K82">
        <f t="shared" si="15"/>
        <v>2.1108198137550662</v>
      </c>
    </row>
    <row r="83" spans="1:11" x14ac:dyDescent="0.3">
      <c r="A83" s="2">
        <f t="shared" si="16"/>
        <v>0.8100000000000005</v>
      </c>
      <c r="B83" s="2">
        <f t="shared" si="17"/>
        <v>81</v>
      </c>
      <c r="C83">
        <f t="shared" si="9"/>
        <v>40.715040790523744</v>
      </c>
      <c r="D83">
        <f t="shared" si="10"/>
        <v>0.31333308391070114</v>
      </c>
      <c r="F83">
        <f t="shared" si="11"/>
        <v>39.207076316800645</v>
      </c>
      <c r="G83">
        <f t="shared" si="12"/>
        <v>2.495066821070683</v>
      </c>
      <c r="I83">
        <f t="shared" si="13"/>
        <v>0.78000000000000047</v>
      </c>
      <c r="J83">
        <f t="shared" si="14"/>
        <v>39.207076316800645</v>
      </c>
      <c r="K83">
        <f t="shared" si="15"/>
        <v>2.495066821070683</v>
      </c>
    </row>
    <row r="84" spans="1:11" x14ac:dyDescent="0.3">
      <c r="A84" s="2">
        <f t="shared" si="16"/>
        <v>0.82000000000000051</v>
      </c>
      <c r="B84" s="2">
        <f t="shared" si="17"/>
        <v>82</v>
      </c>
      <c r="C84">
        <f t="shared" si="9"/>
        <v>41.217695615098108</v>
      </c>
      <c r="D84">
        <f t="shared" si="10"/>
        <v>-0.92031138171174409</v>
      </c>
      <c r="F84">
        <f t="shared" si="11"/>
        <v>39.709731141375009</v>
      </c>
      <c r="G84">
        <f t="shared" si="12"/>
        <v>2.2620676311650247</v>
      </c>
      <c r="I84">
        <f t="shared" si="13"/>
        <v>0.79000000000000048</v>
      </c>
      <c r="J84">
        <f t="shared" si="14"/>
        <v>39.709731141375009</v>
      </c>
      <c r="K84">
        <f t="shared" si="15"/>
        <v>2.2620676311650247</v>
      </c>
    </row>
    <row r="85" spans="1:11" x14ac:dyDescent="0.3">
      <c r="A85" s="2">
        <f t="shared" si="16"/>
        <v>0.83000000000000052</v>
      </c>
      <c r="B85" s="2">
        <f t="shared" si="17"/>
        <v>83</v>
      </c>
      <c r="C85">
        <f t="shared" si="9"/>
        <v>41.72035043967248</v>
      </c>
      <c r="D85">
        <f t="shared" si="10"/>
        <v>-1.9262831069395134</v>
      </c>
      <c r="F85">
        <f t="shared" si="11"/>
        <v>40.212385965949373</v>
      </c>
      <c r="G85">
        <f t="shared" si="12"/>
        <v>1.469463130731143</v>
      </c>
      <c r="I85">
        <f t="shared" si="13"/>
        <v>0.80000000000000049</v>
      </c>
      <c r="J85">
        <f t="shared" si="14"/>
        <v>40.212385965949373</v>
      </c>
      <c r="K85">
        <f t="shared" si="15"/>
        <v>1.469463130731143</v>
      </c>
    </row>
    <row r="86" spans="1:11" x14ac:dyDescent="0.3">
      <c r="A86" s="2">
        <f t="shared" si="16"/>
        <v>0.84000000000000052</v>
      </c>
      <c r="B86" s="2">
        <f t="shared" si="17"/>
        <v>84</v>
      </c>
      <c r="C86">
        <f t="shared" si="9"/>
        <v>42.223005264246844</v>
      </c>
      <c r="D86">
        <f t="shared" si="10"/>
        <v>-2.4557181268217323</v>
      </c>
      <c r="F86">
        <f t="shared" si="11"/>
        <v>40.715040790523744</v>
      </c>
      <c r="G86">
        <f t="shared" si="12"/>
        <v>0.31333308391070114</v>
      </c>
      <c r="I86">
        <f t="shared" si="13"/>
        <v>0.8100000000000005</v>
      </c>
      <c r="J86">
        <f t="shared" si="14"/>
        <v>40.715040790523744</v>
      </c>
      <c r="K86">
        <f t="shared" si="15"/>
        <v>0.31333308391070114</v>
      </c>
    </row>
    <row r="87" spans="1:11" x14ac:dyDescent="0.3">
      <c r="A87" s="2">
        <f t="shared" si="16"/>
        <v>0.85000000000000053</v>
      </c>
      <c r="B87" s="2">
        <f t="shared" si="17"/>
        <v>85</v>
      </c>
      <c r="C87">
        <f t="shared" si="9"/>
        <v>42.725660088821215</v>
      </c>
      <c r="D87">
        <f t="shared" si="10"/>
        <v>-2.3776412907378632</v>
      </c>
      <c r="F87">
        <f t="shared" si="11"/>
        <v>41.217695615098108</v>
      </c>
      <c r="G87">
        <f t="shared" si="12"/>
        <v>-0.92031138171174409</v>
      </c>
      <c r="I87">
        <f t="shared" si="13"/>
        <v>0.82000000000000051</v>
      </c>
      <c r="J87">
        <f t="shared" si="14"/>
        <v>41.217695615098108</v>
      </c>
      <c r="K87">
        <f t="shared" si="15"/>
        <v>-0.92031138171174409</v>
      </c>
    </row>
    <row r="88" spans="1:11" x14ac:dyDescent="0.3">
      <c r="A88" s="2">
        <f t="shared" si="16"/>
        <v>0.86000000000000054</v>
      </c>
      <c r="B88" s="2">
        <f t="shared" si="17"/>
        <v>86</v>
      </c>
      <c r="C88">
        <f t="shared" si="9"/>
        <v>43.228314913395579</v>
      </c>
      <c r="D88">
        <f t="shared" si="10"/>
        <v>-1.7113677648216783</v>
      </c>
      <c r="F88">
        <f t="shared" si="11"/>
        <v>41.72035043967248</v>
      </c>
      <c r="G88">
        <f t="shared" si="12"/>
        <v>-1.9262831069395134</v>
      </c>
      <c r="I88">
        <f t="shared" si="13"/>
        <v>0.83000000000000052</v>
      </c>
      <c r="J88">
        <f t="shared" si="14"/>
        <v>41.72035043967248</v>
      </c>
      <c r="K88">
        <f t="shared" si="15"/>
        <v>-1.9262831069395134</v>
      </c>
    </row>
    <row r="89" spans="1:11" x14ac:dyDescent="0.3">
      <c r="A89" s="2">
        <f t="shared" si="16"/>
        <v>0.87000000000000055</v>
      </c>
      <c r="B89" s="2">
        <f t="shared" si="17"/>
        <v>87</v>
      </c>
      <c r="C89">
        <f t="shared" si="9"/>
        <v>43.73096973796995</v>
      </c>
      <c r="D89">
        <f t="shared" si="10"/>
        <v>-0.62172471791206885</v>
      </c>
      <c r="F89">
        <f t="shared" si="11"/>
        <v>42.223005264246844</v>
      </c>
      <c r="G89">
        <f t="shared" si="12"/>
        <v>-2.4557181268217323</v>
      </c>
      <c r="I89">
        <f t="shared" si="13"/>
        <v>0.84000000000000052</v>
      </c>
      <c r="J89">
        <f t="shared" si="14"/>
        <v>42.223005264246844</v>
      </c>
      <c r="K89">
        <f t="shared" si="15"/>
        <v>-2.4557181268217323</v>
      </c>
    </row>
    <row r="90" spans="1:11" x14ac:dyDescent="0.3">
      <c r="A90" s="2">
        <f t="shared" si="16"/>
        <v>0.88000000000000056</v>
      </c>
      <c r="B90" s="2">
        <f t="shared" si="17"/>
        <v>88</v>
      </c>
      <c r="C90">
        <f t="shared" si="9"/>
        <v>44.233624562544314</v>
      </c>
      <c r="D90">
        <f t="shared" si="10"/>
        <v>0.62172471791219819</v>
      </c>
      <c r="F90">
        <f t="shared" si="11"/>
        <v>42.725660088821215</v>
      </c>
      <c r="G90">
        <f t="shared" si="12"/>
        <v>-2.3776412907378632</v>
      </c>
      <c r="I90">
        <f t="shared" si="13"/>
        <v>0.85000000000000053</v>
      </c>
      <c r="J90">
        <f t="shared" si="14"/>
        <v>42.725660088821215</v>
      </c>
      <c r="K90">
        <f t="shared" si="15"/>
        <v>-2.3776412907378632</v>
      </c>
    </row>
    <row r="91" spans="1:11" x14ac:dyDescent="0.3">
      <c r="A91" s="2">
        <f t="shared" si="16"/>
        <v>0.89000000000000057</v>
      </c>
      <c r="B91" s="2">
        <f t="shared" si="17"/>
        <v>89</v>
      </c>
      <c r="C91">
        <f t="shared" si="9"/>
        <v>44.736279387118685</v>
      </c>
      <c r="D91">
        <f t="shared" si="10"/>
        <v>1.7113677648217753</v>
      </c>
      <c r="F91">
        <f t="shared" si="11"/>
        <v>43.228314913395579</v>
      </c>
      <c r="G91">
        <f t="shared" si="12"/>
        <v>-1.7113677648216783</v>
      </c>
      <c r="I91">
        <f t="shared" si="13"/>
        <v>0.86000000000000054</v>
      </c>
      <c r="J91">
        <f t="shared" si="14"/>
        <v>43.228314913395579</v>
      </c>
      <c r="K91">
        <f t="shared" si="15"/>
        <v>-1.7113677648216783</v>
      </c>
    </row>
    <row r="92" spans="1:11" x14ac:dyDescent="0.3">
      <c r="A92" s="2">
        <f t="shared" si="16"/>
        <v>0.90000000000000058</v>
      </c>
      <c r="B92" s="2">
        <f t="shared" si="17"/>
        <v>90</v>
      </c>
      <c r="C92">
        <f t="shared" si="9"/>
        <v>45.238934211693049</v>
      </c>
      <c r="D92">
        <f t="shared" si="10"/>
        <v>2.3776412907379045</v>
      </c>
      <c r="F92">
        <f t="shared" si="11"/>
        <v>43.73096973796995</v>
      </c>
      <c r="G92">
        <f t="shared" si="12"/>
        <v>-0.62172471791206885</v>
      </c>
      <c r="I92">
        <f t="shared" si="13"/>
        <v>0.87000000000000055</v>
      </c>
      <c r="J92">
        <f t="shared" si="14"/>
        <v>43.73096973796995</v>
      </c>
      <c r="K92">
        <f t="shared" si="15"/>
        <v>-0.62172471791206885</v>
      </c>
    </row>
    <row r="93" spans="1:11" x14ac:dyDescent="0.3">
      <c r="A93" s="2">
        <f t="shared" si="16"/>
        <v>0.91000000000000059</v>
      </c>
      <c r="B93" s="2">
        <f t="shared" si="17"/>
        <v>91</v>
      </c>
      <c r="C93">
        <f t="shared" si="9"/>
        <v>45.74158903626742</v>
      </c>
      <c r="D93">
        <f t="shared" si="10"/>
        <v>2.455718126821707</v>
      </c>
      <c r="F93">
        <f t="shared" si="11"/>
        <v>44.233624562544314</v>
      </c>
      <c r="G93">
        <f t="shared" si="12"/>
        <v>0.62172471791219819</v>
      </c>
      <c r="I93">
        <f t="shared" si="13"/>
        <v>0.88000000000000056</v>
      </c>
      <c r="J93">
        <f t="shared" si="14"/>
        <v>44.233624562544314</v>
      </c>
      <c r="K93">
        <f t="shared" si="15"/>
        <v>0.62172471791219819</v>
      </c>
    </row>
    <row r="94" spans="1:11" x14ac:dyDescent="0.3">
      <c r="A94" s="2">
        <f t="shared" si="16"/>
        <v>0.9200000000000006</v>
      </c>
      <c r="B94" s="2">
        <f t="shared" si="17"/>
        <v>92</v>
      </c>
      <c r="C94">
        <f t="shared" si="9"/>
        <v>46.244243860841785</v>
      </c>
      <c r="D94">
        <f t="shared" si="10"/>
        <v>1.9262831069394284</v>
      </c>
      <c r="F94">
        <f t="shared" si="11"/>
        <v>44.736279387118685</v>
      </c>
      <c r="G94">
        <f t="shared" si="12"/>
        <v>1.7113677648217753</v>
      </c>
      <c r="I94">
        <f t="shared" si="13"/>
        <v>0.89000000000000057</v>
      </c>
      <c r="J94">
        <f t="shared" si="14"/>
        <v>44.736279387118685</v>
      </c>
      <c r="K94">
        <f t="shared" si="15"/>
        <v>1.7113677648217753</v>
      </c>
    </row>
    <row r="95" spans="1:11" x14ac:dyDescent="0.3">
      <c r="A95" s="2">
        <f t="shared" si="16"/>
        <v>0.9300000000000006</v>
      </c>
      <c r="B95" s="2">
        <f t="shared" si="17"/>
        <v>93</v>
      </c>
      <c r="C95">
        <f t="shared" si="9"/>
        <v>46.746898685416149</v>
      </c>
      <c r="D95">
        <f t="shared" si="10"/>
        <v>0.9203113817116364</v>
      </c>
      <c r="F95">
        <f t="shared" si="11"/>
        <v>45.238934211693049</v>
      </c>
      <c r="G95">
        <f t="shared" si="12"/>
        <v>2.3776412907379045</v>
      </c>
      <c r="I95">
        <f t="shared" si="13"/>
        <v>0.90000000000000058</v>
      </c>
      <c r="J95">
        <f t="shared" si="14"/>
        <v>45.238934211693049</v>
      </c>
      <c r="K95">
        <f t="shared" si="15"/>
        <v>2.3776412907379045</v>
      </c>
    </row>
    <row r="96" spans="1:11" x14ac:dyDescent="0.3">
      <c r="A96" s="2">
        <f t="shared" si="16"/>
        <v>0.94000000000000061</v>
      </c>
      <c r="B96" s="2">
        <f t="shared" si="17"/>
        <v>94</v>
      </c>
      <c r="C96">
        <f t="shared" si="9"/>
        <v>47.24955350999052</v>
      </c>
      <c r="D96">
        <f t="shared" si="10"/>
        <v>-0.31333308391083359</v>
      </c>
      <c r="F96">
        <f t="shared" si="11"/>
        <v>45.74158903626742</v>
      </c>
      <c r="G96">
        <f t="shared" si="12"/>
        <v>2.455718126821707</v>
      </c>
      <c r="I96">
        <f t="shared" si="13"/>
        <v>0.91000000000000059</v>
      </c>
      <c r="J96">
        <f t="shared" si="14"/>
        <v>45.74158903626742</v>
      </c>
      <c r="K96">
        <f t="shared" si="15"/>
        <v>2.455718126821707</v>
      </c>
    </row>
    <row r="97" spans="1:11" x14ac:dyDescent="0.3">
      <c r="A97" s="2">
        <f t="shared" si="16"/>
        <v>0.95000000000000062</v>
      </c>
      <c r="B97" s="2">
        <f t="shared" si="17"/>
        <v>95</v>
      </c>
      <c r="C97">
        <f t="shared" si="9"/>
        <v>47.752208334564884</v>
      </c>
      <c r="D97">
        <f t="shared" si="10"/>
        <v>-1.4694631307312365</v>
      </c>
      <c r="F97">
        <f t="shared" si="11"/>
        <v>46.244243860841785</v>
      </c>
      <c r="G97">
        <f t="shared" si="12"/>
        <v>1.9262831069394284</v>
      </c>
      <c r="I97">
        <f t="shared" si="13"/>
        <v>0.9200000000000006</v>
      </c>
      <c r="J97">
        <f t="shared" si="14"/>
        <v>46.244243860841785</v>
      </c>
      <c r="K97">
        <f t="shared" si="15"/>
        <v>1.9262831069394284</v>
      </c>
    </row>
    <row r="98" spans="1:11" x14ac:dyDescent="0.3">
      <c r="A98" s="2">
        <f t="shared" si="16"/>
        <v>0.96000000000000063</v>
      </c>
      <c r="B98" s="2">
        <f t="shared" si="17"/>
        <v>96</v>
      </c>
      <c r="C98">
        <f t="shared" si="9"/>
        <v>48.254863159139255</v>
      </c>
      <c r="D98">
        <f t="shared" si="10"/>
        <v>-2.2620676311650816</v>
      </c>
      <c r="F98">
        <f t="shared" si="11"/>
        <v>46.746898685416149</v>
      </c>
      <c r="G98">
        <f t="shared" si="12"/>
        <v>0.9203113817116364</v>
      </c>
      <c r="I98">
        <f t="shared" si="13"/>
        <v>0.9300000000000006</v>
      </c>
      <c r="J98">
        <f t="shared" si="14"/>
        <v>46.746898685416149</v>
      </c>
      <c r="K98">
        <f t="shared" si="15"/>
        <v>0.9203113817116364</v>
      </c>
    </row>
    <row r="99" spans="1:11" x14ac:dyDescent="0.3">
      <c r="A99" s="2">
        <f t="shared" si="16"/>
        <v>0.97000000000000064</v>
      </c>
      <c r="B99" s="2">
        <f t="shared" si="17"/>
        <v>97</v>
      </c>
      <c r="C99">
        <f t="shared" si="9"/>
        <v>48.757517983713619</v>
      </c>
      <c r="D99">
        <f t="shared" si="10"/>
        <v>-2.4950668210706746</v>
      </c>
      <c r="F99">
        <f t="shared" si="11"/>
        <v>47.24955350999052</v>
      </c>
      <c r="G99">
        <f t="shared" si="12"/>
        <v>-0.31333308391083359</v>
      </c>
      <c r="I99">
        <f t="shared" si="13"/>
        <v>0.94000000000000061</v>
      </c>
      <c r="J99">
        <f t="shared" si="14"/>
        <v>47.24955350999052</v>
      </c>
      <c r="K99">
        <f t="shared" si="15"/>
        <v>-0.31333308391083359</v>
      </c>
    </row>
    <row r="100" spans="1:11" x14ac:dyDescent="0.3">
      <c r="A100" s="2">
        <f t="shared" si="16"/>
        <v>0.98000000000000065</v>
      </c>
      <c r="B100" s="2">
        <f t="shared" si="17"/>
        <v>98</v>
      </c>
      <c r="C100">
        <f t="shared" si="9"/>
        <v>49.26017280828799</v>
      </c>
      <c r="D100">
        <f t="shared" si="10"/>
        <v>-2.1108198137549947</v>
      </c>
      <c r="F100">
        <f t="shared" si="11"/>
        <v>47.752208334564884</v>
      </c>
      <c r="G100">
        <f t="shared" si="12"/>
        <v>-1.4694631307312365</v>
      </c>
      <c r="I100">
        <f t="shared" si="13"/>
        <v>0.95000000000000062</v>
      </c>
      <c r="J100">
        <f t="shared" si="14"/>
        <v>47.752208334564884</v>
      </c>
      <c r="K100">
        <f t="shared" si="15"/>
        <v>-1.4694631307312365</v>
      </c>
    </row>
    <row r="101" spans="1:11" x14ac:dyDescent="0.3">
      <c r="A101" s="2">
        <f t="shared" si="16"/>
        <v>0.99000000000000066</v>
      </c>
      <c r="B101" s="2">
        <f t="shared" si="17"/>
        <v>99</v>
      </c>
      <c r="C101">
        <f t="shared" si="9"/>
        <v>49.762827632862354</v>
      </c>
      <c r="D101">
        <f t="shared" si="10"/>
        <v>-1.2043841852542239</v>
      </c>
      <c r="F101">
        <f t="shared" si="11"/>
        <v>48.254863159139255</v>
      </c>
      <c r="G101">
        <f t="shared" si="12"/>
        <v>-2.2620676311650816</v>
      </c>
      <c r="I101">
        <f t="shared" si="13"/>
        <v>0.96000000000000063</v>
      </c>
      <c r="J101">
        <f t="shared" si="14"/>
        <v>48.254863159139255</v>
      </c>
      <c r="K101">
        <f t="shared" si="15"/>
        <v>-2.2620676311650816</v>
      </c>
    </row>
    <row r="102" spans="1:11" x14ac:dyDescent="0.3">
      <c r="A102" s="2">
        <f t="shared" si="16"/>
        <v>1.0000000000000007</v>
      </c>
      <c r="B102" s="2">
        <f t="shared" si="17"/>
        <v>100</v>
      </c>
      <c r="C102">
        <f t="shared" si="9"/>
        <v>50.265482457436725</v>
      </c>
      <c r="D102">
        <f t="shared" si="10"/>
        <v>8.3917248150378043E-14</v>
      </c>
      <c r="F102">
        <f t="shared" si="11"/>
        <v>48.757517983713619</v>
      </c>
      <c r="G102">
        <f t="shared" si="12"/>
        <v>-2.4950668210706746</v>
      </c>
      <c r="I102">
        <f t="shared" si="13"/>
        <v>0.97000000000000064</v>
      </c>
      <c r="J102">
        <f t="shared" si="14"/>
        <v>48.757517983713619</v>
      </c>
      <c r="K102">
        <f t="shared" si="15"/>
        <v>-2.4950668210706746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A811-A12C-4A28-A140-BA06E24F01FC}">
  <dimension ref="A1:G102"/>
  <sheetViews>
    <sheetView tabSelected="1" workbookViewId="0">
      <selection sqref="A1:G1048576"/>
    </sheetView>
  </sheetViews>
  <sheetFormatPr baseColWidth="10" defaultRowHeight="14.4" x14ac:dyDescent="0.3"/>
  <cols>
    <col min="1" max="2" width="11.554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</v>
      </c>
      <c r="F1" s="1" t="s">
        <v>3</v>
      </c>
      <c r="G1" s="1" t="s">
        <v>5</v>
      </c>
    </row>
    <row r="2" spans="1:7" x14ac:dyDescent="0.3">
      <c r="A2" s="2">
        <f>0</f>
        <v>0</v>
      </c>
      <c r="B2" s="2">
        <f>0</f>
        <v>0</v>
      </c>
      <c r="C2">
        <f>2*PI()*8*A2</f>
        <v>0</v>
      </c>
      <c r="D2">
        <f>2.5*SIN(C2)</f>
        <v>0</v>
      </c>
      <c r="F2">
        <f>2*PI()*8*(A2+0.03)</f>
        <v>1.5079644737231006</v>
      </c>
      <c r="G2">
        <f>2.5*SIN(F2)</f>
        <v>2.495066821070679</v>
      </c>
    </row>
    <row r="3" spans="1:7" x14ac:dyDescent="0.3">
      <c r="A3" s="2">
        <f>A2+0.01</f>
        <v>0.01</v>
      </c>
      <c r="B3" s="2">
        <f>B2+1</f>
        <v>1</v>
      </c>
      <c r="C3">
        <f t="shared" ref="C3:C66" si="0">2*PI()*8*A3</f>
        <v>0.50265482457436694</v>
      </c>
      <c r="D3">
        <f t="shared" ref="D3:D66" si="1">2.5*SIN(C3)</f>
        <v>1.2043841852542883</v>
      </c>
      <c r="F3">
        <f t="shared" ref="F3:F66" si="2">2*PI()*8*(A3+0.03)</f>
        <v>2.0106192982974678</v>
      </c>
      <c r="G3">
        <f t="shared" ref="G3:G66" si="3">2.5*SIN(F3)</f>
        <v>2.2620676311650487</v>
      </c>
    </row>
    <row r="4" spans="1:7" x14ac:dyDescent="0.3">
      <c r="A4" s="2">
        <f t="shared" ref="A4:A67" si="4">A3+0.01</f>
        <v>0.02</v>
      </c>
      <c r="B4" s="2">
        <f t="shared" ref="B4:B67" si="5">B3+1</f>
        <v>2</v>
      </c>
      <c r="C4">
        <f t="shared" si="0"/>
        <v>1.0053096491487339</v>
      </c>
      <c r="D4">
        <f t="shared" si="1"/>
        <v>2.1108198137550378</v>
      </c>
      <c r="F4">
        <f t="shared" si="2"/>
        <v>2.5132741228718345</v>
      </c>
      <c r="G4">
        <f t="shared" si="3"/>
        <v>1.4694631307311832</v>
      </c>
    </row>
    <row r="5" spans="1:7" x14ac:dyDescent="0.3">
      <c r="A5" s="2">
        <f t="shared" si="4"/>
        <v>0.03</v>
      </c>
      <c r="B5" s="2">
        <f t="shared" si="5"/>
        <v>3</v>
      </c>
      <c r="C5">
        <f t="shared" si="0"/>
        <v>1.5079644737231006</v>
      </c>
      <c r="D5">
        <f t="shared" si="1"/>
        <v>2.495066821070679</v>
      </c>
      <c r="F5">
        <f t="shared" si="2"/>
        <v>3.0159289474462012</v>
      </c>
      <c r="G5">
        <f t="shared" si="3"/>
        <v>0.31333308391076131</v>
      </c>
    </row>
    <row r="6" spans="1:7" x14ac:dyDescent="0.3">
      <c r="A6" s="2">
        <f t="shared" si="4"/>
        <v>0.04</v>
      </c>
      <c r="B6" s="2">
        <f t="shared" si="5"/>
        <v>4</v>
      </c>
      <c r="C6">
        <f t="shared" si="0"/>
        <v>2.0106192982974678</v>
      </c>
      <c r="D6">
        <f t="shared" si="1"/>
        <v>2.2620676311650487</v>
      </c>
      <c r="F6">
        <f t="shared" si="2"/>
        <v>3.5185837720205688</v>
      </c>
      <c r="G6">
        <f t="shared" si="3"/>
        <v>-0.9203113817116958</v>
      </c>
    </row>
    <row r="7" spans="1:7" x14ac:dyDescent="0.3">
      <c r="A7" s="2">
        <f t="shared" si="4"/>
        <v>0.05</v>
      </c>
      <c r="B7" s="2">
        <f t="shared" si="5"/>
        <v>5</v>
      </c>
      <c r="C7">
        <f t="shared" si="0"/>
        <v>2.5132741228718345</v>
      </c>
      <c r="D7">
        <f t="shared" si="1"/>
        <v>1.4694631307311832</v>
      </c>
      <c r="F7">
        <f t="shared" si="2"/>
        <v>4.0212385965949355</v>
      </c>
      <c r="G7">
        <f t="shared" si="3"/>
        <v>-1.9262831069394735</v>
      </c>
    </row>
    <row r="8" spans="1:7" x14ac:dyDescent="0.3">
      <c r="A8" s="2">
        <f t="shared" si="4"/>
        <v>6.0000000000000005E-2</v>
      </c>
      <c r="B8" s="2">
        <f t="shared" si="5"/>
        <v>6</v>
      </c>
      <c r="C8">
        <f t="shared" si="0"/>
        <v>3.0159289474462017</v>
      </c>
      <c r="D8">
        <f t="shared" si="1"/>
        <v>0.3133330839107602</v>
      </c>
      <c r="F8">
        <f t="shared" si="2"/>
        <v>4.5238934211693023</v>
      </c>
      <c r="G8">
        <f t="shared" si="3"/>
        <v>-2.4557181268217216</v>
      </c>
    </row>
    <row r="9" spans="1:7" x14ac:dyDescent="0.3">
      <c r="A9" s="2">
        <f t="shared" si="4"/>
        <v>7.0000000000000007E-2</v>
      </c>
      <c r="B9" s="2">
        <f t="shared" si="5"/>
        <v>7</v>
      </c>
      <c r="C9">
        <f t="shared" si="0"/>
        <v>3.5185837720205688</v>
      </c>
      <c r="D9">
        <f t="shared" si="1"/>
        <v>-0.9203113817116958</v>
      </c>
      <c r="F9">
        <f t="shared" si="2"/>
        <v>5.026548245743669</v>
      </c>
      <c r="G9">
        <f t="shared" si="3"/>
        <v>-2.3776412907378841</v>
      </c>
    </row>
    <row r="10" spans="1:7" x14ac:dyDescent="0.3">
      <c r="A10" s="2">
        <f t="shared" si="4"/>
        <v>0.08</v>
      </c>
      <c r="B10" s="2">
        <f t="shared" si="5"/>
        <v>8</v>
      </c>
      <c r="C10">
        <f t="shared" si="0"/>
        <v>4.0212385965949355</v>
      </c>
      <c r="D10">
        <f t="shared" si="1"/>
        <v>-1.9262831069394735</v>
      </c>
      <c r="F10">
        <f t="shared" si="2"/>
        <v>5.5292030703180357</v>
      </c>
      <c r="G10">
        <f t="shared" si="3"/>
        <v>-1.7113677648217225</v>
      </c>
    </row>
    <row r="11" spans="1:7" x14ac:dyDescent="0.3">
      <c r="A11" s="2">
        <f t="shared" si="4"/>
        <v>0.09</v>
      </c>
      <c r="B11" s="2">
        <f t="shared" si="5"/>
        <v>9</v>
      </c>
      <c r="C11">
        <f t="shared" si="0"/>
        <v>4.5238934211693023</v>
      </c>
      <c r="D11">
        <f t="shared" si="1"/>
        <v>-2.4557181268217216</v>
      </c>
      <c r="F11">
        <f t="shared" si="2"/>
        <v>6.0318578948924024</v>
      </c>
      <c r="G11">
        <f t="shared" si="3"/>
        <v>-0.62172471791213835</v>
      </c>
    </row>
    <row r="12" spans="1:7" x14ac:dyDescent="0.3">
      <c r="A12" s="2">
        <f t="shared" si="4"/>
        <v>9.9999999999999992E-2</v>
      </c>
      <c r="B12" s="2">
        <f t="shared" si="5"/>
        <v>10</v>
      </c>
      <c r="C12">
        <f t="shared" si="0"/>
        <v>5.026548245743669</v>
      </c>
      <c r="D12">
        <f t="shared" si="1"/>
        <v>-2.3776412907378841</v>
      </c>
      <c r="F12">
        <f t="shared" si="2"/>
        <v>6.53451271946677</v>
      </c>
      <c r="G12">
        <f t="shared" si="3"/>
        <v>0.62172471791213724</v>
      </c>
    </row>
    <row r="13" spans="1:7" x14ac:dyDescent="0.3">
      <c r="A13" s="2">
        <f t="shared" si="4"/>
        <v>0.10999999999999999</v>
      </c>
      <c r="B13" s="2">
        <f t="shared" si="5"/>
        <v>11</v>
      </c>
      <c r="C13">
        <f t="shared" si="0"/>
        <v>5.5292030703180348</v>
      </c>
      <c r="D13">
        <f t="shared" si="1"/>
        <v>-1.711367764821724</v>
      </c>
      <c r="F13">
        <f t="shared" si="2"/>
        <v>7.0371675440411359</v>
      </c>
      <c r="G13">
        <f t="shared" si="3"/>
        <v>1.7113677648217198</v>
      </c>
    </row>
    <row r="14" spans="1:7" x14ac:dyDescent="0.3">
      <c r="A14" s="2">
        <f t="shared" si="4"/>
        <v>0.11999999999999998</v>
      </c>
      <c r="B14" s="2">
        <f t="shared" si="5"/>
        <v>12</v>
      </c>
      <c r="C14">
        <f t="shared" si="0"/>
        <v>6.0318578948924015</v>
      </c>
      <c r="D14">
        <f t="shared" si="1"/>
        <v>-0.62172471791214057</v>
      </c>
      <c r="F14">
        <f t="shared" si="2"/>
        <v>7.5398223686155017</v>
      </c>
      <c r="G14">
        <f t="shared" si="3"/>
        <v>2.3776412907378823</v>
      </c>
    </row>
    <row r="15" spans="1:7" x14ac:dyDescent="0.3">
      <c r="A15" s="2">
        <f t="shared" si="4"/>
        <v>0.12999999999999998</v>
      </c>
      <c r="B15" s="2">
        <f t="shared" si="5"/>
        <v>13</v>
      </c>
      <c r="C15">
        <f t="shared" si="0"/>
        <v>6.5345127194667683</v>
      </c>
      <c r="D15">
        <f t="shared" si="1"/>
        <v>0.62172471791213291</v>
      </c>
      <c r="F15">
        <f t="shared" si="2"/>
        <v>8.0424771931898693</v>
      </c>
      <c r="G15">
        <f t="shared" si="3"/>
        <v>2.4557181268217225</v>
      </c>
    </row>
    <row r="16" spans="1:7" x14ac:dyDescent="0.3">
      <c r="A16" s="2">
        <f t="shared" si="4"/>
        <v>0.13999999999999999</v>
      </c>
      <c r="B16" s="2">
        <f t="shared" si="5"/>
        <v>14</v>
      </c>
      <c r="C16">
        <f t="shared" si="0"/>
        <v>7.0371675440411359</v>
      </c>
      <c r="D16">
        <f t="shared" si="1"/>
        <v>1.7113677648217198</v>
      </c>
      <c r="F16">
        <f t="shared" si="2"/>
        <v>8.5451320177642369</v>
      </c>
      <c r="G16">
        <f t="shared" si="3"/>
        <v>1.9262831069394744</v>
      </c>
    </row>
    <row r="17" spans="1:7" x14ac:dyDescent="0.3">
      <c r="A17" s="2">
        <f t="shared" si="4"/>
        <v>0.15</v>
      </c>
      <c r="B17" s="2">
        <f t="shared" si="5"/>
        <v>15</v>
      </c>
      <c r="C17">
        <f t="shared" si="0"/>
        <v>7.5398223686155035</v>
      </c>
      <c r="D17">
        <f t="shared" si="1"/>
        <v>2.3776412907378837</v>
      </c>
      <c r="F17">
        <f t="shared" si="2"/>
        <v>9.0477868423386045</v>
      </c>
      <c r="G17">
        <f t="shared" si="3"/>
        <v>0.92031138171169491</v>
      </c>
    </row>
    <row r="18" spans="1:7" x14ac:dyDescent="0.3">
      <c r="A18" s="2">
        <f t="shared" si="4"/>
        <v>0.16</v>
      </c>
      <c r="B18" s="2">
        <f t="shared" si="5"/>
        <v>16</v>
      </c>
      <c r="C18">
        <f t="shared" si="0"/>
        <v>8.0424771931898711</v>
      </c>
      <c r="D18">
        <f t="shared" si="1"/>
        <v>2.4557181268217216</v>
      </c>
      <c r="F18">
        <f t="shared" si="2"/>
        <v>9.5504416669129704</v>
      </c>
      <c r="G18">
        <f t="shared" si="3"/>
        <v>-0.31333308391075793</v>
      </c>
    </row>
    <row r="19" spans="1:7" x14ac:dyDescent="0.3">
      <c r="A19" s="2">
        <f t="shared" si="4"/>
        <v>0.17</v>
      </c>
      <c r="B19" s="2">
        <f t="shared" si="5"/>
        <v>17</v>
      </c>
      <c r="C19">
        <f t="shared" si="0"/>
        <v>8.5451320177642387</v>
      </c>
      <c r="D19">
        <f t="shared" si="1"/>
        <v>1.9262831069394715</v>
      </c>
      <c r="F19">
        <f t="shared" si="2"/>
        <v>10.053096491487338</v>
      </c>
      <c r="G19">
        <f t="shared" si="3"/>
        <v>-1.4694631307311821</v>
      </c>
    </row>
    <row r="20" spans="1:7" x14ac:dyDescent="0.3">
      <c r="A20" s="2">
        <f t="shared" si="4"/>
        <v>0.18000000000000002</v>
      </c>
      <c r="B20" s="2">
        <f t="shared" si="5"/>
        <v>18</v>
      </c>
      <c r="C20">
        <f t="shared" si="0"/>
        <v>9.0477868423386045</v>
      </c>
      <c r="D20">
        <f t="shared" si="1"/>
        <v>0.92031138171169491</v>
      </c>
      <c r="F20">
        <f t="shared" si="2"/>
        <v>10.555751316061706</v>
      </c>
      <c r="G20">
        <f t="shared" si="3"/>
        <v>-2.2620676311650492</v>
      </c>
    </row>
    <row r="21" spans="1:7" x14ac:dyDescent="0.3">
      <c r="A21" s="2">
        <f t="shared" si="4"/>
        <v>0.19000000000000003</v>
      </c>
      <c r="B21" s="2">
        <f t="shared" si="5"/>
        <v>19</v>
      </c>
      <c r="C21">
        <f t="shared" si="0"/>
        <v>9.5504416669129721</v>
      </c>
      <c r="D21">
        <f t="shared" si="1"/>
        <v>-0.31333308391076231</v>
      </c>
      <c r="F21">
        <f t="shared" si="2"/>
        <v>11.058406140636073</v>
      </c>
      <c r="G21">
        <f t="shared" si="3"/>
        <v>-2.4950668210706786</v>
      </c>
    </row>
    <row r="22" spans="1:7" x14ac:dyDescent="0.3">
      <c r="A22" s="2">
        <f t="shared" si="4"/>
        <v>0.20000000000000004</v>
      </c>
      <c r="B22" s="2">
        <f t="shared" si="5"/>
        <v>20</v>
      </c>
      <c r="C22">
        <f t="shared" si="0"/>
        <v>10.05309649148734</v>
      </c>
      <c r="D22">
        <f t="shared" si="1"/>
        <v>-1.4694631307311856</v>
      </c>
      <c r="F22">
        <f t="shared" si="2"/>
        <v>11.561060965210441</v>
      </c>
      <c r="G22">
        <f t="shared" si="3"/>
        <v>-2.1108198137550356</v>
      </c>
    </row>
    <row r="23" spans="1:7" x14ac:dyDescent="0.3">
      <c r="A23" s="2">
        <f t="shared" si="4"/>
        <v>0.21000000000000005</v>
      </c>
      <c r="B23" s="2">
        <f t="shared" si="5"/>
        <v>21</v>
      </c>
      <c r="C23">
        <f t="shared" si="0"/>
        <v>10.555751316061707</v>
      </c>
      <c r="D23">
        <f t="shared" si="1"/>
        <v>-2.2620676311650509</v>
      </c>
      <c r="F23">
        <f t="shared" si="2"/>
        <v>12.063715789784808</v>
      </c>
      <c r="G23">
        <f t="shared" si="3"/>
        <v>-1.2043841852542831</v>
      </c>
    </row>
    <row r="24" spans="1:7" x14ac:dyDescent="0.3">
      <c r="A24" s="2">
        <f t="shared" si="4"/>
        <v>0.22000000000000006</v>
      </c>
      <c r="B24" s="2">
        <f t="shared" si="5"/>
        <v>22</v>
      </c>
      <c r="C24">
        <f t="shared" si="0"/>
        <v>11.058406140636075</v>
      </c>
      <c r="D24">
        <f t="shared" si="1"/>
        <v>-2.4950668210706786</v>
      </c>
      <c r="F24">
        <f t="shared" si="2"/>
        <v>12.566370614359176</v>
      </c>
      <c r="G24">
        <f t="shared" si="3"/>
        <v>7.6566357420926323E-15</v>
      </c>
    </row>
    <row r="25" spans="1:7" x14ac:dyDescent="0.3">
      <c r="A25" s="2">
        <f t="shared" si="4"/>
        <v>0.23000000000000007</v>
      </c>
      <c r="B25" s="2">
        <f t="shared" si="5"/>
        <v>23</v>
      </c>
      <c r="C25">
        <f t="shared" si="0"/>
        <v>11.561060965210443</v>
      </c>
      <c r="D25">
        <f t="shared" si="1"/>
        <v>-2.1108198137550329</v>
      </c>
      <c r="F25">
        <f t="shared" si="2"/>
        <v>13.069025438933542</v>
      </c>
      <c r="G25">
        <f t="shared" si="3"/>
        <v>1.2043841852542925</v>
      </c>
    </row>
    <row r="26" spans="1:7" x14ac:dyDescent="0.3">
      <c r="A26" s="2">
        <f t="shared" si="4"/>
        <v>0.24000000000000007</v>
      </c>
      <c r="B26" s="2">
        <f t="shared" si="5"/>
        <v>24</v>
      </c>
      <c r="C26">
        <f t="shared" si="0"/>
        <v>12.06371578978481</v>
      </c>
      <c r="D26">
        <f t="shared" si="1"/>
        <v>-1.2043841852542791</v>
      </c>
      <c r="F26">
        <f t="shared" si="2"/>
        <v>13.571680263507909</v>
      </c>
      <c r="G26">
        <f t="shared" si="3"/>
        <v>2.1108198137550414</v>
      </c>
    </row>
    <row r="27" spans="1:7" x14ac:dyDescent="0.3">
      <c r="A27" s="2">
        <f t="shared" si="4"/>
        <v>0.25000000000000006</v>
      </c>
      <c r="B27" s="2">
        <f t="shared" si="5"/>
        <v>25</v>
      </c>
      <c r="C27">
        <f t="shared" si="0"/>
        <v>12.566370614359176</v>
      </c>
      <c r="D27">
        <f t="shared" si="1"/>
        <v>7.6566357420926323E-15</v>
      </c>
      <c r="F27">
        <f t="shared" si="2"/>
        <v>14.074335088082275</v>
      </c>
      <c r="G27">
        <f t="shared" si="3"/>
        <v>2.495066821070679</v>
      </c>
    </row>
    <row r="28" spans="1:7" x14ac:dyDescent="0.3">
      <c r="A28" s="2">
        <f t="shared" si="4"/>
        <v>0.26000000000000006</v>
      </c>
      <c r="B28" s="2">
        <f t="shared" si="5"/>
        <v>26</v>
      </c>
      <c r="C28">
        <f t="shared" si="0"/>
        <v>13.069025438933542</v>
      </c>
      <c r="D28">
        <f t="shared" si="1"/>
        <v>1.2043841852542925</v>
      </c>
      <c r="F28">
        <f t="shared" si="2"/>
        <v>14.576989912656641</v>
      </c>
      <c r="G28">
        <f t="shared" si="3"/>
        <v>2.2620676311650483</v>
      </c>
    </row>
    <row r="29" spans="1:7" x14ac:dyDescent="0.3">
      <c r="A29" s="2">
        <f t="shared" si="4"/>
        <v>0.27000000000000007</v>
      </c>
      <c r="B29" s="2">
        <f t="shared" si="5"/>
        <v>27</v>
      </c>
      <c r="C29">
        <f t="shared" si="0"/>
        <v>13.571680263507909</v>
      </c>
      <c r="D29">
        <f t="shared" si="1"/>
        <v>2.1108198137550414</v>
      </c>
      <c r="F29">
        <f t="shared" si="2"/>
        <v>15.079644737231009</v>
      </c>
      <c r="G29">
        <f t="shared" si="3"/>
        <v>1.4694631307311803</v>
      </c>
    </row>
    <row r="30" spans="1:7" x14ac:dyDescent="0.3">
      <c r="A30" s="2">
        <f t="shared" si="4"/>
        <v>0.28000000000000008</v>
      </c>
      <c r="B30" s="2">
        <f t="shared" si="5"/>
        <v>28</v>
      </c>
      <c r="C30">
        <f t="shared" si="0"/>
        <v>14.074335088082277</v>
      </c>
      <c r="D30">
        <f t="shared" si="1"/>
        <v>2.4950668210706795</v>
      </c>
      <c r="F30">
        <f t="shared" si="2"/>
        <v>15.582299561805376</v>
      </c>
      <c r="G30">
        <f t="shared" si="3"/>
        <v>0.31333308391075593</v>
      </c>
    </row>
    <row r="31" spans="1:7" x14ac:dyDescent="0.3">
      <c r="A31" s="2">
        <f t="shared" si="4"/>
        <v>0.29000000000000009</v>
      </c>
      <c r="B31" s="2">
        <f t="shared" si="5"/>
        <v>29</v>
      </c>
      <c r="C31">
        <f t="shared" si="0"/>
        <v>14.576989912656645</v>
      </c>
      <c r="D31">
        <f t="shared" si="1"/>
        <v>2.2620676311650447</v>
      </c>
      <c r="F31">
        <f t="shared" si="2"/>
        <v>16.084954386379742</v>
      </c>
      <c r="G31">
        <f t="shared" si="3"/>
        <v>-0.9203113817116968</v>
      </c>
    </row>
    <row r="32" spans="1:7" x14ac:dyDescent="0.3">
      <c r="A32" s="2">
        <f t="shared" si="4"/>
        <v>0.3000000000000001</v>
      </c>
      <c r="B32" s="2">
        <f t="shared" si="5"/>
        <v>30</v>
      </c>
      <c r="C32">
        <f t="shared" si="0"/>
        <v>15.079644737231012</v>
      </c>
      <c r="D32">
        <f t="shared" si="1"/>
        <v>1.4694631307311732</v>
      </c>
      <c r="F32">
        <f t="shared" si="2"/>
        <v>16.58760921095411</v>
      </c>
      <c r="G32">
        <f t="shared" si="3"/>
        <v>-1.9262831069394752</v>
      </c>
    </row>
    <row r="33" spans="1:7" x14ac:dyDescent="0.3">
      <c r="A33" s="2">
        <f t="shared" si="4"/>
        <v>0.31000000000000011</v>
      </c>
      <c r="B33" s="2">
        <f t="shared" si="5"/>
        <v>31</v>
      </c>
      <c r="C33">
        <f t="shared" si="0"/>
        <v>15.58229956180538</v>
      </c>
      <c r="D33">
        <f t="shared" si="1"/>
        <v>0.3133330839107471</v>
      </c>
      <c r="F33">
        <f t="shared" si="2"/>
        <v>17.090264035528477</v>
      </c>
      <c r="G33">
        <f t="shared" si="3"/>
        <v>-2.4557181268217225</v>
      </c>
    </row>
    <row r="34" spans="1:7" x14ac:dyDescent="0.3">
      <c r="A34" s="2">
        <f t="shared" si="4"/>
        <v>0.32000000000000012</v>
      </c>
      <c r="B34" s="2">
        <f t="shared" si="5"/>
        <v>32</v>
      </c>
      <c r="C34">
        <f t="shared" si="0"/>
        <v>16.084954386379746</v>
      </c>
      <c r="D34">
        <f t="shared" si="1"/>
        <v>-0.92031138171170501</v>
      </c>
      <c r="F34">
        <f t="shared" si="2"/>
        <v>17.592918860102845</v>
      </c>
      <c r="G34">
        <f t="shared" si="3"/>
        <v>-2.3776412907378814</v>
      </c>
    </row>
    <row r="35" spans="1:7" x14ac:dyDescent="0.3">
      <c r="A35" s="2">
        <f t="shared" si="4"/>
        <v>0.33000000000000013</v>
      </c>
      <c r="B35" s="2">
        <f t="shared" si="5"/>
        <v>33</v>
      </c>
      <c r="C35">
        <f t="shared" si="0"/>
        <v>16.587609210954113</v>
      </c>
      <c r="D35">
        <f t="shared" si="1"/>
        <v>-1.9262831069394812</v>
      </c>
      <c r="F35">
        <f t="shared" si="2"/>
        <v>18.095573684677213</v>
      </c>
      <c r="G35">
        <f t="shared" si="3"/>
        <v>-1.7113677648217152</v>
      </c>
    </row>
    <row r="36" spans="1:7" x14ac:dyDescent="0.3">
      <c r="A36" s="2">
        <f t="shared" si="4"/>
        <v>0.34000000000000014</v>
      </c>
      <c r="B36" s="2">
        <f t="shared" si="5"/>
        <v>34</v>
      </c>
      <c r="C36">
        <f t="shared" si="0"/>
        <v>17.090264035528481</v>
      </c>
      <c r="D36">
        <f t="shared" si="1"/>
        <v>-2.4557181268217243</v>
      </c>
      <c r="F36">
        <f t="shared" si="2"/>
        <v>18.59822850925158</v>
      </c>
      <c r="G36">
        <f t="shared" si="3"/>
        <v>-0.62172471791212669</v>
      </c>
    </row>
    <row r="37" spans="1:7" x14ac:dyDescent="0.3">
      <c r="A37" s="2">
        <f t="shared" si="4"/>
        <v>0.35000000000000014</v>
      </c>
      <c r="B37" s="2">
        <f t="shared" si="5"/>
        <v>35</v>
      </c>
      <c r="C37">
        <f t="shared" si="0"/>
        <v>17.592918860102849</v>
      </c>
      <c r="D37">
        <f t="shared" si="1"/>
        <v>-2.3776412907378792</v>
      </c>
      <c r="F37">
        <f t="shared" si="2"/>
        <v>19.100883333825948</v>
      </c>
      <c r="G37">
        <f t="shared" si="3"/>
        <v>0.62172471791214889</v>
      </c>
    </row>
    <row r="38" spans="1:7" x14ac:dyDescent="0.3">
      <c r="A38" s="2">
        <f t="shared" si="4"/>
        <v>0.36000000000000015</v>
      </c>
      <c r="B38" s="2">
        <f t="shared" si="5"/>
        <v>36</v>
      </c>
      <c r="C38">
        <f t="shared" si="0"/>
        <v>18.095573684677216</v>
      </c>
      <c r="D38">
        <f t="shared" si="1"/>
        <v>-1.7113677648217087</v>
      </c>
      <c r="F38">
        <f t="shared" si="2"/>
        <v>19.603538158400315</v>
      </c>
      <c r="G38">
        <f t="shared" si="3"/>
        <v>1.7113677648217318</v>
      </c>
    </row>
    <row r="39" spans="1:7" x14ac:dyDescent="0.3">
      <c r="A39" s="2">
        <f t="shared" si="4"/>
        <v>0.37000000000000016</v>
      </c>
      <c r="B39" s="2">
        <f t="shared" si="5"/>
        <v>37</v>
      </c>
      <c r="C39">
        <f t="shared" si="0"/>
        <v>18.598228509251584</v>
      </c>
      <c r="D39">
        <f t="shared" si="1"/>
        <v>-0.62172471791211814</v>
      </c>
      <c r="F39">
        <f t="shared" si="2"/>
        <v>20.106192982974683</v>
      </c>
      <c r="G39">
        <f t="shared" si="3"/>
        <v>2.377641290737889</v>
      </c>
    </row>
    <row r="40" spans="1:7" x14ac:dyDescent="0.3">
      <c r="A40" s="2">
        <f t="shared" si="4"/>
        <v>0.38000000000000017</v>
      </c>
      <c r="B40" s="2">
        <f t="shared" si="5"/>
        <v>38</v>
      </c>
      <c r="C40">
        <f t="shared" si="0"/>
        <v>19.100883333825951</v>
      </c>
      <c r="D40">
        <f t="shared" si="1"/>
        <v>0.62172471791215755</v>
      </c>
      <c r="F40">
        <f t="shared" si="2"/>
        <v>20.608847807549051</v>
      </c>
      <c r="G40">
        <f t="shared" si="3"/>
        <v>2.4557181268217185</v>
      </c>
    </row>
    <row r="41" spans="1:7" x14ac:dyDescent="0.3">
      <c r="A41" s="2">
        <f t="shared" si="4"/>
        <v>0.39000000000000018</v>
      </c>
      <c r="B41" s="2">
        <f t="shared" si="5"/>
        <v>39</v>
      </c>
      <c r="C41">
        <f t="shared" si="0"/>
        <v>19.603538158400319</v>
      </c>
      <c r="D41">
        <f t="shared" si="1"/>
        <v>1.7113677648217385</v>
      </c>
      <c r="F41">
        <f t="shared" si="2"/>
        <v>21.111502632123418</v>
      </c>
      <c r="G41">
        <f t="shared" si="3"/>
        <v>1.926283106939461</v>
      </c>
    </row>
    <row r="42" spans="1:7" x14ac:dyDescent="0.3">
      <c r="A42" s="2">
        <f t="shared" si="4"/>
        <v>0.40000000000000019</v>
      </c>
      <c r="B42" s="2">
        <f t="shared" si="5"/>
        <v>40</v>
      </c>
      <c r="C42">
        <f t="shared" si="0"/>
        <v>20.106192982974687</v>
      </c>
      <c r="D42">
        <f t="shared" si="1"/>
        <v>2.3776412907378917</v>
      </c>
      <c r="F42">
        <f t="shared" si="2"/>
        <v>21.614157456697786</v>
      </c>
      <c r="G42">
        <f t="shared" si="3"/>
        <v>0.92031138171167537</v>
      </c>
    </row>
    <row r="43" spans="1:7" x14ac:dyDescent="0.3">
      <c r="A43" s="2">
        <f t="shared" si="4"/>
        <v>0.4100000000000002</v>
      </c>
      <c r="B43" s="2">
        <f t="shared" si="5"/>
        <v>41</v>
      </c>
      <c r="C43">
        <f t="shared" si="0"/>
        <v>20.608847807549054</v>
      </c>
      <c r="D43">
        <f t="shared" si="1"/>
        <v>2.4557181268217168</v>
      </c>
      <c r="F43">
        <f t="shared" si="2"/>
        <v>22.116812281272153</v>
      </c>
      <c r="G43">
        <f t="shared" si="3"/>
        <v>-0.31333308391078313</v>
      </c>
    </row>
    <row r="44" spans="1:7" x14ac:dyDescent="0.3">
      <c r="A44" s="2">
        <f t="shared" si="4"/>
        <v>0.42000000000000021</v>
      </c>
      <c r="B44" s="2">
        <f t="shared" si="5"/>
        <v>42</v>
      </c>
      <c r="C44">
        <f t="shared" si="0"/>
        <v>21.111502632123422</v>
      </c>
      <c r="D44">
        <f t="shared" si="1"/>
        <v>1.926283106939455</v>
      </c>
      <c r="F44">
        <f t="shared" si="2"/>
        <v>22.619467105846521</v>
      </c>
      <c r="G44">
        <f t="shared" si="3"/>
        <v>-1.4694631307312025</v>
      </c>
    </row>
    <row r="45" spans="1:7" x14ac:dyDescent="0.3">
      <c r="A45" s="2">
        <f t="shared" si="4"/>
        <v>0.43000000000000022</v>
      </c>
      <c r="B45" s="2">
        <f t="shared" si="5"/>
        <v>43</v>
      </c>
      <c r="C45">
        <f t="shared" si="0"/>
        <v>21.614157456697786</v>
      </c>
      <c r="D45">
        <f t="shared" si="1"/>
        <v>0.92031138171167537</v>
      </c>
      <c r="F45">
        <f t="shared" si="2"/>
        <v>23.122121930420885</v>
      </c>
      <c r="G45">
        <f t="shared" si="3"/>
        <v>-2.2620676311650563</v>
      </c>
    </row>
    <row r="46" spans="1:7" x14ac:dyDescent="0.3">
      <c r="A46" s="2">
        <f t="shared" si="4"/>
        <v>0.44000000000000022</v>
      </c>
      <c r="B46" s="2">
        <f t="shared" si="5"/>
        <v>44</v>
      </c>
      <c r="C46">
        <f t="shared" si="0"/>
        <v>22.116812281272153</v>
      </c>
      <c r="D46">
        <f t="shared" si="1"/>
        <v>-0.31333308391078313</v>
      </c>
      <c r="F46">
        <f t="shared" si="2"/>
        <v>23.624776754995253</v>
      </c>
      <c r="G46">
        <f t="shared" si="3"/>
        <v>-2.4950668210706777</v>
      </c>
    </row>
    <row r="47" spans="1:7" x14ac:dyDescent="0.3">
      <c r="A47" s="2">
        <f t="shared" si="4"/>
        <v>0.45000000000000023</v>
      </c>
      <c r="B47" s="2">
        <f t="shared" si="5"/>
        <v>45</v>
      </c>
      <c r="C47">
        <f t="shared" si="0"/>
        <v>22.619467105846521</v>
      </c>
      <c r="D47">
        <f t="shared" si="1"/>
        <v>-1.4694631307312025</v>
      </c>
      <c r="F47">
        <f t="shared" si="2"/>
        <v>24.12743157956962</v>
      </c>
      <c r="G47">
        <f t="shared" si="3"/>
        <v>-2.1108198137550267</v>
      </c>
    </row>
    <row r="48" spans="1:7" x14ac:dyDescent="0.3">
      <c r="A48" s="2">
        <f t="shared" si="4"/>
        <v>0.46000000000000024</v>
      </c>
      <c r="B48" s="2">
        <f t="shared" si="5"/>
        <v>46</v>
      </c>
      <c r="C48">
        <f t="shared" si="0"/>
        <v>23.122121930420889</v>
      </c>
      <c r="D48">
        <f t="shared" si="1"/>
        <v>-2.2620676311650598</v>
      </c>
      <c r="F48">
        <f t="shared" si="2"/>
        <v>24.630086404143988</v>
      </c>
      <c r="G48">
        <f t="shared" si="3"/>
        <v>-1.2043841852542685</v>
      </c>
    </row>
    <row r="49" spans="1:7" x14ac:dyDescent="0.3">
      <c r="A49" s="2">
        <f t="shared" si="4"/>
        <v>0.47000000000000025</v>
      </c>
      <c r="B49" s="2">
        <f t="shared" si="5"/>
        <v>47</v>
      </c>
      <c r="C49">
        <f t="shared" si="0"/>
        <v>23.624776754995256</v>
      </c>
      <c r="D49">
        <f t="shared" si="1"/>
        <v>-2.4950668210706772</v>
      </c>
      <c r="F49">
        <f t="shared" si="2"/>
        <v>25.132741228718356</v>
      </c>
      <c r="G49">
        <f t="shared" si="3"/>
        <v>2.4195055681186517E-14</v>
      </c>
    </row>
    <row r="50" spans="1:7" x14ac:dyDescent="0.3">
      <c r="A50" s="2">
        <f t="shared" si="4"/>
        <v>0.48000000000000026</v>
      </c>
      <c r="B50" s="2">
        <f t="shared" si="5"/>
        <v>48</v>
      </c>
      <c r="C50">
        <f t="shared" si="0"/>
        <v>24.127431579569624</v>
      </c>
      <c r="D50">
        <f t="shared" si="1"/>
        <v>-2.1108198137550218</v>
      </c>
      <c r="F50">
        <f t="shared" si="2"/>
        <v>25.635396053292723</v>
      </c>
      <c r="G50">
        <f t="shared" si="3"/>
        <v>1.2043841852543109</v>
      </c>
    </row>
    <row r="51" spans="1:7" x14ac:dyDescent="0.3">
      <c r="A51" s="2">
        <f t="shared" si="4"/>
        <v>0.49000000000000027</v>
      </c>
      <c r="B51" s="2">
        <f t="shared" si="5"/>
        <v>49</v>
      </c>
      <c r="C51">
        <f t="shared" si="0"/>
        <v>24.630086404143992</v>
      </c>
      <c r="D51">
        <f t="shared" si="1"/>
        <v>-1.2043841852542607</v>
      </c>
      <c r="F51">
        <f t="shared" si="2"/>
        <v>26.138050877867091</v>
      </c>
      <c r="G51">
        <f t="shared" si="3"/>
        <v>2.1108198137550525</v>
      </c>
    </row>
    <row r="52" spans="1:7" x14ac:dyDescent="0.3">
      <c r="A52" s="2">
        <f t="shared" si="4"/>
        <v>0.50000000000000022</v>
      </c>
      <c r="B52" s="2">
        <f t="shared" si="5"/>
        <v>50</v>
      </c>
      <c r="C52">
        <f t="shared" si="0"/>
        <v>25.132741228718356</v>
      </c>
      <c r="D52">
        <f t="shared" si="1"/>
        <v>2.4195055681186517E-14</v>
      </c>
      <c r="F52">
        <f t="shared" si="2"/>
        <v>26.640705702441458</v>
      </c>
      <c r="G52">
        <f t="shared" si="3"/>
        <v>2.4950668210706808</v>
      </c>
    </row>
    <row r="53" spans="1:7" x14ac:dyDescent="0.3">
      <c r="A53" s="2">
        <f t="shared" si="4"/>
        <v>0.51000000000000023</v>
      </c>
      <c r="B53" s="2">
        <f t="shared" si="5"/>
        <v>51</v>
      </c>
      <c r="C53">
        <f t="shared" si="0"/>
        <v>25.635396053292723</v>
      </c>
      <c r="D53">
        <f t="shared" si="1"/>
        <v>1.2043841852543109</v>
      </c>
      <c r="F53">
        <f t="shared" si="2"/>
        <v>27.143360527015826</v>
      </c>
      <c r="G53">
        <f t="shared" si="3"/>
        <v>2.2620676311650358</v>
      </c>
    </row>
    <row r="54" spans="1:7" x14ac:dyDescent="0.3">
      <c r="A54" s="2">
        <f t="shared" si="4"/>
        <v>0.52000000000000024</v>
      </c>
      <c r="B54" s="2">
        <f t="shared" si="5"/>
        <v>52</v>
      </c>
      <c r="C54">
        <f t="shared" si="0"/>
        <v>26.138050877867091</v>
      </c>
      <c r="D54">
        <f t="shared" si="1"/>
        <v>2.1108198137550525</v>
      </c>
      <c r="F54">
        <f t="shared" si="2"/>
        <v>27.646015351590194</v>
      </c>
      <c r="G54">
        <f t="shared" si="3"/>
        <v>1.4694631307311563</v>
      </c>
    </row>
    <row r="55" spans="1:7" x14ac:dyDescent="0.3">
      <c r="A55" s="2">
        <f t="shared" si="4"/>
        <v>0.53000000000000025</v>
      </c>
      <c r="B55" s="2">
        <f t="shared" si="5"/>
        <v>53</v>
      </c>
      <c r="C55">
        <f t="shared" si="0"/>
        <v>26.640705702441458</v>
      </c>
      <c r="D55">
        <f t="shared" si="1"/>
        <v>2.4950668210706808</v>
      </c>
      <c r="F55">
        <f t="shared" si="2"/>
        <v>28.148670176164561</v>
      </c>
      <c r="G55">
        <f t="shared" si="3"/>
        <v>0.31333308391072628</v>
      </c>
    </row>
    <row r="56" spans="1:7" x14ac:dyDescent="0.3">
      <c r="A56" s="2">
        <f t="shared" si="4"/>
        <v>0.54000000000000026</v>
      </c>
      <c r="B56" s="2">
        <f t="shared" si="5"/>
        <v>54</v>
      </c>
      <c r="C56">
        <f t="shared" si="0"/>
        <v>27.143360527015826</v>
      </c>
      <c r="D56">
        <f t="shared" si="1"/>
        <v>2.2620676311650358</v>
      </c>
      <c r="F56">
        <f t="shared" si="2"/>
        <v>28.651325000738929</v>
      </c>
      <c r="G56">
        <f t="shared" si="3"/>
        <v>-0.92031138171172866</v>
      </c>
    </row>
    <row r="57" spans="1:7" x14ac:dyDescent="0.3">
      <c r="A57" s="2">
        <f t="shared" si="4"/>
        <v>0.55000000000000027</v>
      </c>
      <c r="B57" s="2">
        <f t="shared" si="5"/>
        <v>55</v>
      </c>
      <c r="C57">
        <f t="shared" si="0"/>
        <v>27.646015351590194</v>
      </c>
      <c r="D57">
        <f t="shared" si="1"/>
        <v>1.4694631307311563</v>
      </c>
      <c r="F57">
        <f t="shared" si="2"/>
        <v>29.153979825313296</v>
      </c>
      <c r="G57">
        <f t="shared" si="3"/>
        <v>-1.9262831069394972</v>
      </c>
    </row>
    <row r="58" spans="1:7" x14ac:dyDescent="0.3">
      <c r="A58" s="2">
        <f t="shared" si="4"/>
        <v>0.56000000000000028</v>
      </c>
      <c r="B58" s="2">
        <f t="shared" si="5"/>
        <v>56</v>
      </c>
      <c r="C58">
        <f t="shared" si="0"/>
        <v>28.148670176164561</v>
      </c>
      <c r="D58">
        <f t="shared" si="1"/>
        <v>0.31333308391072628</v>
      </c>
      <c r="F58">
        <f t="shared" si="2"/>
        <v>29.656634649887661</v>
      </c>
      <c r="G58">
        <f t="shared" si="3"/>
        <v>-2.4557181268217274</v>
      </c>
    </row>
    <row r="59" spans="1:7" x14ac:dyDescent="0.3">
      <c r="A59" s="2">
        <f t="shared" si="4"/>
        <v>0.57000000000000028</v>
      </c>
      <c r="B59" s="2">
        <f t="shared" si="5"/>
        <v>57</v>
      </c>
      <c r="C59">
        <f t="shared" si="0"/>
        <v>28.651325000738929</v>
      </c>
      <c r="D59">
        <f t="shared" si="1"/>
        <v>-0.92031138171172866</v>
      </c>
      <c r="F59">
        <f t="shared" si="2"/>
        <v>30.159289474462028</v>
      </c>
      <c r="G59">
        <f t="shared" si="3"/>
        <v>-2.3776412907378739</v>
      </c>
    </row>
    <row r="60" spans="1:7" x14ac:dyDescent="0.3">
      <c r="A60" s="2">
        <f t="shared" si="4"/>
        <v>0.58000000000000029</v>
      </c>
      <c r="B60" s="2">
        <f t="shared" si="5"/>
        <v>58</v>
      </c>
      <c r="C60">
        <f t="shared" si="0"/>
        <v>29.153979825313296</v>
      </c>
      <c r="D60">
        <f t="shared" si="1"/>
        <v>-1.9262831069394972</v>
      </c>
      <c r="F60">
        <f t="shared" si="2"/>
        <v>30.661944299036396</v>
      </c>
      <c r="G60">
        <f t="shared" si="3"/>
        <v>-1.7113677648216965</v>
      </c>
    </row>
    <row r="61" spans="1:7" x14ac:dyDescent="0.3">
      <c r="A61" s="2">
        <f t="shared" si="4"/>
        <v>0.5900000000000003</v>
      </c>
      <c r="B61" s="2">
        <f t="shared" si="5"/>
        <v>59</v>
      </c>
      <c r="C61">
        <f t="shared" si="0"/>
        <v>29.656634649887661</v>
      </c>
      <c r="D61">
        <f t="shared" si="1"/>
        <v>-2.4557181268217274</v>
      </c>
      <c r="F61">
        <f t="shared" si="2"/>
        <v>31.164599123610763</v>
      </c>
      <c r="G61">
        <f t="shared" si="3"/>
        <v>-0.62172471791210204</v>
      </c>
    </row>
    <row r="62" spans="1:7" x14ac:dyDescent="0.3">
      <c r="A62" s="2">
        <f t="shared" si="4"/>
        <v>0.60000000000000031</v>
      </c>
      <c r="B62" s="2">
        <f t="shared" si="5"/>
        <v>60</v>
      </c>
      <c r="C62">
        <f t="shared" si="0"/>
        <v>30.159289474462028</v>
      </c>
      <c r="D62">
        <f t="shared" si="1"/>
        <v>-2.3776412907378739</v>
      </c>
      <c r="F62">
        <f t="shared" si="2"/>
        <v>31.667253948185131</v>
      </c>
      <c r="G62">
        <f t="shared" si="3"/>
        <v>0.62172471791217354</v>
      </c>
    </row>
    <row r="63" spans="1:7" x14ac:dyDescent="0.3">
      <c r="A63" s="2">
        <f t="shared" si="4"/>
        <v>0.61000000000000032</v>
      </c>
      <c r="B63" s="2">
        <f t="shared" si="5"/>
        <v>61</v>
      </c>
      <c r="C63">
        <f t="shared" si="0"/>
        <v>30.661944299036396</v>
      </c>
      <c r="D63">
        <f t="shared" si="1"/>
        <v>-1.7113677648216965</v>
      </c>
      <c r="F63">
        <f t="shared" si="2"/>
        <v>32.169908772759499</v>
      </c>
      <c r="G63">
        <f t="shared" si="3"/>
        <v>1.7113677648217505</v>
      </c>
    </row>
    <row r="64" spans="1:7" x14ac:dyDescent="0.3">
      <c r="A64" s="2">
        <f t="shared" si="4"/>
        <v>0.62000000000000033</v>
      </c>
      <c r="B64" s="2">
        <f t="shared" si="5"/>
        <v>62</v>
      </c>
      <c r="C64">
        <f t="shared" si="0"/>
        <v>31.164599123610763</v>
      </c>
      <c r="D64">
        <f t="shared" si="1"/>
        <v>-0.62172471791210204</v>
      </c>
      <c r="F64">
        <f t="shared" si="2"/>
        <v>32.67256359733387</v>
      </c>
      <c r="G64">
        <f t="shared" si="3"/>
        <v>2.3776412907378992</v>
      </c>
    </row>
    <row r="65" spans="1:7" x14ac:dyDescent="0.3">
      <c r="A65" s="2">
        <f t="shared" si="4"/>
        <v>0.63000000000000034</v>
      </c>
      <c r="B65" s="2">
        <f t="shared" si="5"/>
        <v>63</v>
      </c>
      <c r="C65">
        <f t="shared" si="0"/>
        <v>31.667253948185131</v>
      </c>
      <c r="D65">
        <f t="shared" si="1"/>
        <v>0.62172471791217354</v>
      </c>
      <c r="F65">
        <f t="shared" si="2"/>
        <v>33.175218421908234</v>
      </c>
      <c r="G65">
        <f t="shared" si="3"/>
        <v>2.4557181268217136</v>
      </c>
    </row>
    <row r="66" spans="1:7" x14ac:dyDescent="0.3">
      <c r="A66" s="2">
        <f t="shared" si="4"/>
        <v>0.64000000000000035</v>
      </c>
      <c r="B66" s="2">
        <f t="shared" si="5"/>
        <v>64</v>
      </c>
      <c r="C66">
        <f t="shared" si="0"/>
        <v>32.169908772759499</v>
      </c>
      <c r="D66">
        <f t="shared" si="1"/>
        <v>1.7113677648217505</v>
      </c>
      <c r="F66">
        <f t="shared" si="2"/>
        <v>33.677873246482598</v>
      </c>
      <c r="G66">
        <f t="shared" si="3"/>
        <v>1.9262831069394504</v>
      </c>
    </row>
    <row r="67" spans="1:7" x14ac:dyDescent="0.3">
      <c r="A67" s="2">
        <f t="shared" si="4"/>
        <v>0.65000000000000036</v>
      </c>
      <c r="B67" s="2">
        <f t="shared" si="5"/>
        <v>65</v>
      </c>
      <c r="C67">
        <f t="shared" ref="C67:C102" si="6">2*PI()*8*A67</f>
        <v>32.67256359733387</v>
      </c>
      <c r="D67">
        <f t="shared" ref="D67:D102" si="7">2.5*SIN(C67)</f>
        <v>2.3776412907378992</v>
      </c>
      <c r="F67">
        <f t="shared" ref="F67:F102" si="8">2*PI()*8*(A67+0.03)</f>
        <v>34.180528071056969</v>
      </c>
      <c r="G67">
        <f t="shared" ref="G67:G102" si="9">2.5*SIN(F67)</f>
        <v>0.92031138171165172</v>
      </c>
    </row>
    <row r="68" spans="1:7" x14ac:dyDescent="0.3">
      <c r="A68" s="2">
        <f t="shared" ref="A68:A102" si="10">A67+0.01</f>
        <v>0.66000000000000036</v>
      </c>
      <c r="B68" s="2">
        <f t="shared" ref="B68:B102" si="11">B67+1</f>
        <v>66</v>
      </c>
      <c r="C68">
        <f t="shared" si="6"/>
        <v>33.175218421908234</v>
      </c>
      <c r="D68">
        <f t="shared" si="7"/>
        <v>2.4557181268217136</v>
      </c>
      <c r="F68">
        <f t="shared" si="8"/>
        <v>34.683182895631333</v>
      </c>
      <c r="G68">
        <f t="shared" si="9"/>
        <v>-0.31333308391079956</v>
      </c>
    </row>
    <row r="69" spans="1:7" x14ac:dyDescent="0.3">
      <c r="A69" s="2">
        <f t="shared" si="10"/>
        <v>0.67000000000000037</v>
      </c>
      <c r="B69" s="2">
        <f t="shared" si="11"/>
        <v>67</v>
      </c>
      <c r="C69">
        <f t="shared" si="6"/>
        <v>33.677873246482598</v>
      </c>
      <c r="D69">
        <f t="shared" si="7"/>
        <v>1.9262831069394504</v>
      </c>
      <c r="F69">
        <f t="shared" si="8"/>
        <v>35.185837720205704</v>
      </c>
      <c r="G69">
        <f t="shared" si="9"/>
        <v>-1.4694631307312231</v>
      </c>
    </row>
    <row r="70" spans="1:7" x14ac:dyDescent="0.3">
      <c r="A70" s="2">
        <f t="shared" si="10"/>
        <v>0.68000000000000038</v>
      </c>
      <c r="B70" s="2">
        <f t="shared" si="11"/>
        <v>68</v>
      </c>
      <c r="C70">
        <f t="shared" si="6"/>
        <v>34.180528071056969</v>
      </c>
      <c r="D70">
        <f t="shared" si="7"/>
        <v>0.92031138171165172</v>
      </c>
      <c r="F70">
        <f t="shared" si="8"/>
        <v>35.688492544780068</v>
      </c>
      <c r="G70">
        <f t="shared" si="9"/>
        <v>-2.2620676311650669</v>
      </c>
    </row>
    <row r="71" spans="1:7" x14ac:dyDescent="0.3">
      <c r="A71" s="2">
        <f t="shared" si="10"/>
        <v>0.69000000000000039</v>
      </c>
      <c r="B71" s="2">
        <f t="shared" si="11"/>
        <v>69</v>
      </c>
      <c r="C71">
        <f t="shared" si="6"/>
        <v>34.683182895631333</v>
      </c>
      <c r="D71">
        <f t="shared" si="7"/>
        <v>-0.31333308391079956</v>
      </c>
      <c r="F71">
        <f t="shared" si="8"/>
        <v>36.191147369354439</v>
      </c>
      <c r="G71">
        <f t="shared" si="9"/>
        <v>-2.4950668210706755</v>
      </c>
    </row>
    <row r="72" spans="1:7" x14ac:dyDescent="0.3">
      <c r="A72" s="2">
        <f t="shared" si="10"/>
        <v>0.7000000000000004</v>
      </c>
      <c r="B72" s="2">
        <f t="shared" si="11"/>
        <v>70</v>
      </c>
      <c r="C72">
        <f t="shared" si="6"/>
        <v>35.185837720205704</v>
      </c>
      <c r="D72">
        <f t="shared" si="7"/>
        <v>-1.4694631307312231</v>
      </c>
      <c r="F72">
        <f t="shared" si="8"/>
        <v>36.693802193928803</v>
      </c>
      <c r="G72">
        <f t="shared" si="9"/>
        <v>-2.1108198137550129</v>
      </c>
    </row>
    <row r="73" spans="1:7" x14ac:dyDescent="0.3">
      <c r="A73" s="2">
        <f t="shared" si="10"/>
        <v>0.71000000000000041</v>
      </c>
      <c r="B73" s="2">
        <f t="shared" si="11"/>
        <v>71</v>
      </c>
      <c r="C73">
        <f t="shared" si="6"/>
        <v>35.688492544780068</v>
      </c>
      <c r="D73">
        <f t="shared" si="7"/>
        <v>-2.2620676311650669</v>
      </c>
      <c r="F73">
        <f t="shared" si="8"/>
        <v>37.196457018503175</v>
      </c>
      <c r="G73">
        <f t="shared" si="9"/>
        <v>-1.2043841852542385</v>
      </c>
    </row>
    <row r="74" spans="1:7" x14ac:dyDescent="0.3">
      <c r="A74" s="2">
        <f t="shared" si="10"/>
        <v>0.72000000000000042</v>
      </c>
      <c r="B74" s="2">
        <f t="shared" si="11"/>
        <v>72</v>
      </c>
      <c r="C74">
        <f t="shared" si="6"/>
        <v>36.191147369354439</v>
      </c>
      <c r="D74">
        <f t="shared" si="7"/>
        <v>-2.4950668210706755</v>
      </c>
      <c r="F74">
        <f t="shared" si="8"/>
        <v>37.699111843077539</v>
      </c>
      <c r="G74">
        <f t="shared" si="9"/>
        <v>4.9615259817281654E-14</v>
      </c>
    </row>
    <row r="75" spans="1:7" x14ac:dyDescent="0.3">
      <c r="A75" s="2">
        <f t="shared" si="10"/>
        <v>0.73000000000000043</v>
      </c>
      <c r="B75" s="2">
        <f t="shared" si="11"/>
        <v>73</v>
      </c>
      <c r="C75">
        <f t="shared" si="6"/>
        <v>36.693802193928803</v>
      </c>
      <c r="D75">
        <f t="shared" si="7"/>
        <v>-2.1108198137550129</v>
      </c>
      <c r="F75">
        <f t="shared" si="8"/>
        <v>38.20176666765191</v>
      </c>
      <c r="G75">
        <f t="shared" si="9"/>
        <v>1.2043841852543409</v>
      </c>
    </row>
    <row r="76" spans="1:7" x14ac:dyDescent="0.3">
      <c r="A76" s="2">
        <f t="shared" si="10"/>
        <v>0.74000000000000044</v>
      </c>
      <c r="B76" s="2">
        <f t="shared" si="11"/>
        <v>74</v>
      </c>
      <c r="C76">
        <f t="shared" si="6"/>
        <v>37.196457018503175</v>
      </c>
      <c r="D76">
        <f t="shared" si="7"/>
        <v>-1.2043841852542385</v>
      </c>
      <c r="F76">
        <f t="shared" si="8"/>
        <v>38.704421492226274</v>
      </c>
      <c r="G76">
        <f t="shared" si="9"/>
        <v>2.1108198137550662</v>
      </c>
    </row>
    <row r="77" spans="1:7" x14ac:dyDescent="0.3">
      <c r="A77" s="2">
        <f t="shared" si="10"/>
        <v>0.75000000000000044</v>
      </c>
      <c r="B77" s="2">
        <f t="shared" si="11"/>
        <v>75</v>
      </c>
      <c r="C77">
        <f t="shared" si="6"/>
        <v>37.699111843077539</v>
      </c>
      <c r="D77">
        <f t="shared" si="7"/>
        <v>4.9615259817281654E-14</v>
      </c>
      <c r="F77">
        <f t="shared" si="8"/>
        <v>39.207076316800645</v>
      </c>
      <c r="G77">
        <f t="shared" si="9"/>
        <v>2.495066821070683</v>
      </c>
    </row>
    <row r="78" spans="1:7" x14ac:dyDescent="0.3">
      <c r="A78" s="2">
        <f t="shared" si="10"/>
        <v>0.76000000000000045</v>
      </c>
      <c r="B78" s="2">
        <f t="shared" si="11"/>
        <v>76</v>
      </c>
      <c r="C78">
        <f t="shared" si="6"/>
        <v>38.20176666765191</v>
      </c>
      <c r="D78">
        <f t="shared" si="7"/>
        <v>1.2043841852543409</v>
      </c>
      <c r="F78">
        <f t="shared" si="8"/>
        <v>39.709731141375009</v>
      </c>
      <c r="G78">
        <f t="shared" si="9"/>
        <v>2.2620676311650247</v>
      </c>
    </row>
    <row r="79" spans="1:7" x14ac:dyDescent="0.3">
      <c r="A79" s="2">
        <f t="shared" si="10"/>
        <v>0.77000000000000046</v>
      </c>
      <c r="B79" s="2">
        <f t="shared" si="11"/>
        <v>77</v>
      </c>
      <c r="C79">
        <f t="shared" si="6"/>
        <v>38.704421492226274</v>
      </c>
      <c r="D79">
        <f t="shared" si="7"/>
        <v>2.1108198137550662</v>
      </c>
      <c r="F79">
        <f t="shared" si="8"/>
        <v>40.212385965949373</v>
      </c>
      <c r="G79">
        <f t="shared" si="9"/>
        <v>1.469463130731143</v>
      </c>
    </row>
    <row r="80" spans="1:7" x14ac:dyDescent="0.3">
      <c r="A80" s="2">
        <f t="shared" si="10"/>
        <v>0.78000000000000047</v>
      </c>
      <c r="B80" s="2">
        <f t="shared" si="11"/>
        <v>78</v>
      </c>
      <c r="C80">
        <f t="shared" si="6"/>
        <v>39.207076316800645</v>
      </c>
      <c r="D80">
        <f t="shared" si="7"/>
        <v>2.495066821070683</v>
      </c>
      <c r="F80">
        <f t="shared" si="8"/>
        <v>40.715040790523744</v>
      </c>
      <c r="G80">
        <f t="shared" si="9"/>
        <v>0.31333308391070114</v>
      </c>
    </row>
    <row r="81" spans="1:7" x14ac:dyDescent="0.3">
      <c r="A81" s="2">
        <f t="shared" si="10"/>
        <v>0.79000000000000048</v>
      </c>
      <c r="B81" s="2">
        <f t="shared" si="11"/>
        <v>79</v>
      </c>
      <c r="C81">
        <f t="shared" si="6"/>
        <v>39.709731141375009</v>
      </c>
      <c r="D81">
        <f t="shared" si="7"/>
        <v>2.2620676311650247</v>
      </c>
      <c r="F81">
        <f t="shared" si="8"/>
        <v>41.217695615098108</v>
      </c>
      <c r="G81">
        <f t="shared" si="9"/>
        <v>-0.92031138171174409</v>
      </c>
    </row>
    <row r="82" spans="1:7" x14ac:dyDescent="0.3">
      <c r="A82" s="2">
        <f t="shared" si="10"/>
        <v>0.80000000000000049</v>
      </c>
      <c r="B82" s="2">
        <f t="shared" si="11"/>
        <v>80</v>
      </c>
      <c r="C82">
        <f t="shared" si="6"/>
        <v>40.212385965949373</v>
      </c>
      <c r="D82">
        <f t="shared" si="7"/>
        <v>1.469463130731143</v>
      </c>
      <c r="F82">
        <f t="shared" si="8"/>
        <v>41.72035043967248</v>
      </c>
      <c r="G82">
        <f t="shared" si="9"/>
        <v>-1.9262831069395134</v>
      </c>
    </row>
    <row r="83" spans="1:7" x14ac:dyDescent="0.3">
      <c r="A83" s="2">
        <f t="shared" si="10"/>
        <v>0.8100000000000005</v>
      </c>
      <c r="B83" s="2">
        <f t="shared" si="11"/>
        <v>81</v>
      </c>
      <c r="C83">
        <f t="shared" si="6"/>
        <v>40.715040790523744</v>
      </c>
      <c r="D83">
        <f t="shared" si="7"/>
        <v>0.31333308391070114</v>
      </c>
      <c r="F83">
        <f t="shared" si="8"/>
        <v>42.223005264246844</v>
      </c>
      <c r="G83">
        <f t="shared" si="9"/>
        <v>-2.4557181268217323</v>
      </c>
    </row>
    <row r="84" spans="1:7" x14ac:dyDescent="0.3">
      <c r="A84" s="2">
        <f t="shared" si="10"/>
        <v>0.82000000000000051</v>
      </c>
      <c r="B84" s="2">
        <f t="shared" si="11"/>
        <v>82</v>
      </c>
      <c r="C84">
        <f t="shared" si="6"/>
        <v>41.217695615098108</v>
      </c>
      <c r="D84">
        <f t="shared" si="7"/>
        <v>-0.92031138171174409</v>
      </c>
      <c r="F84">
        <f t="shared" si="8"/>
        <v>42.725660088821215</v>
      </c>
      <c r="G84">
        <f t="shared" si="9"/>
        <v>-2.3776412907378632</v>
      </c>
    </row>
    <row r="85" spans="1:7" x14ac:dyDescent="0.3">
      <c r="A85" s="2">
        <f t="shared" si="10"/>
        <v>0.83000000000000052</v>
      </c>
      <c r="B85" s="2">
        <f t="shared" si="11"/>
        <v>83</v>
      </c>
      <c r="C85">
        <f t="shared" si="6"/>
        <v>41.72035043967248</v>
      </c>
      <c r="D85">
        <f t="shared" si="7"/>
        <v>-1.9262831069395134</v>
      </c>
      <c r="F85">
        <f t="shared" si="8"/>
        <v>43.228314913395579</v>
      </c>
      <c r="G85">
        <f t="shared" si="9"/>
        <v>-1.7113677648216783</v>
      </c>
    </row>
    <row r="86" spans="1:7" x14ac:dyDescent="0.3">
      <c r="A86" s="2">
        <f t="shared" si="10"/>
        <v>0.84000000000000052</v>
      </c>
      <c r="B86" s="2">
        <f t="shared" si="11"/>
        <v>84</v>
      </c>
      <c r="C86">
        <f t="shared" si="6"/>
        <v>42.223005264246844</v>
      </c>
      <c r="D86">
        <f t="shared" si="7"/>
        <v>-2.4557181268217323</v>
      </c>
      <c r="F86">
        <f t="shared" si="8"/>
        <v>43.73096973796995</v>
      </c>
      <c r="G86">
        <f t="shared" si="9"/>
        <v>-0.62172471791206885</v>
      </c>
    </row>
    <row r="87" spans="1:7" x14ac:dyDescent="0.3">
      <c r="A87" s="2">
        <f t="shared" si="10"/>
        <v>0.85000000000000053</v>
      </c>
      <c r="B87" s="2">
        <f t="shared" si="11"/>
        <v>85</v>
      </c>
      <c r="C87">
        <f t="shared" si="6"/>
        <v>42.725660088821215</v>
      </c>
      <c r="D87">
        <f t="shared" si="7"/>
        <v>-2.3776412907378632</v>
      </c>
      <c r="F87">
        <f t="shared" si="8"/>
        <v>44.233624562544314</v>
      </c>
      <c r="G87">
        <f t="shared" si="9"/>
        <v>0.62172471791219819</v>
      </c>
    </row>
    <row r="88" spans="1:7" x14ac:dyDescent="0.3">
      <c r="A88" s="2">
        <f t="shared" si="10"/>
        <v>0.86000000000000054</v>
      </c>
      <c r="B88" s="2">
        <f t="shared" si="11"/>
        <v>86</v>
      </c>
      <c r="C88">
        <f t="shared" si="6"/>
        <v>43.228314913395579</v>
      </c>
      <c r="D88">
        <f t="shared" si="7"/>
        <v>-1.7113677648216783</v>
      </c>
      <c r="F88">
        <f t="shared" si="8"/>
        <v>44.736279387118685</v>
      </c>
      <c r="G88">
        <f t="shared" si="9"/>
        <v>1.7113677648217753</v>
      </c>
    </row>
    <row r="89" spans="1:7" x14ac:dyDescent="0.3">
      <c r="A89" s="2">
        <f t="shared" si="10"/>
        <v>0.87000000000000055</v>
      </c>
      <c r="B89" s="2">
        <f t="shared" si="11"/>
        <v>87</v>
      </c>
      <c r="C89">
        <f t="shared" si="6"/>
        <v>43.73096973796995</v>
      </c>
      <c r="D89">
        <f t="shared" si="7"/>
        <v>-0.62172471791206885</v>
      </c>
      <c r="F89">
        <f t="shared" si="8"/>
        <v>45.238934211693049</v>
      </c>
      <c r="G89">
        <f t="shared" si="9"/>
        <v>2.3776412907379045</v>
      </c>
    </row>
    <row r="90" spans="1:7" x14ac:dyDescent="0.3">
      <c r="A90" s="2">
        <f t="shared" si="10"/>
        <v>0.88000000000000056</v>
      </c>
      <c r="B90" s="2">
        <f t="shared" si="11"/>
        <v>88</v>
      </c>
      <c r="C90">
        <f t="shared" si="6"/>
        <v>44.233624562544314</v>
      </c>
      <c r="D90">
        <f t="shared" si="7"/>
        <v>0.62172471791219819</v>
      </c>
      <c r="F90">
        <f t="shared" si="8"/>
        <v>45.74158903626742</v>
      </c>
      <c r="G90">
        <f t="shared" si="9"/>
        <v>2.455718126821707</v>
      </c>
    </row>
    <row r="91" spans="1:7" x14ac:dyDescent="0.3">
      <c r="A91" s="2">
        <f t="shared" si="10"/>
        <v>0.89000000000000057</v>
      </c>
      <c r="B91" s="2">
        <f t="shared" si="11"/>
        <v>89</v>
      </c>
      <c r="C91">
        <f t="shared" si="6"/>
        <v>44.736279387118685</v>
      </c>
      <c r="D91">
        <f t="shared" si="7"/>
        <v>1.7113677648217753</v>
      </c>
      <c r="F91">
        <f t="shared" si="8"/>
        <v>46.244243860841785</v>
      </c>
      <c r="G91">
        <f t="shared" si="9"/>
        <v>1.9262831069394284</v>
      </c>
    </row>
    <row r="92" spans="1:7" x14ac:dyDescent="0.3">
      <c r="A92" s="2">
        <f t="shared" si="10"/>
        <v>0.90000000000000058</v>
      </c>
      <c r="B92" s="2">
        <f t="shared" si="11"/>
        <v>90</v>
      </c>
      <c r="C92">
        <f t="shared" si="6"/>
        <v>45.238934211693049</v>
      </c>
      <c r="D92">
        <f t="shared" si="7"/>
        <v>2.3776412907379045</v>
      </c>
      <c r="F92">
        <f t="shared" si="8"/>
        <v>46.746898685416149</v>
      </c>
      <c r="G92">
        <f t="shared" si="9"/>
        <v>0.9203113817116364</v>
      </c>
    </row>
    <row r="93" spans="1:7" x14ac:dyDescent="0.3">
      <c r="A93" s="2">
        <f t="shared" si="10"/>
        <v>0.91000000000000059</v>
      </c>
      <c r="B93" s="2">
        <f t="shared" si="11"/>
        <v>91</v>
      </c>
      <c r="C93">
        <f t="shared" si="6"/>
        <v>45.74158903626742</v>
      </c>
      <c r="D93">
        <f t="shared" si="7"/>
        <v>2.455718126821707</v>
      </c>
      <c r="F93">
        <f t="shared" si="8"/>
        <v>47.24955350999052</v>
      </c>
      <c r="G93">
        <f t="shared" si="9"/>
        <v>-0.31333308391083359</v>
      </c>
    </row>
    <row r="94" spans="1:7" x14ac:dyDescent="0.3">
      <c r="A94" s="2">
        <f t="shared" si="10"/>
        <v>0.9200000000000006</v>
      </c>
      <c r="B94" s="2">
        <f t="shared" si="11"/>
        <v>92</v>
      </c>
      <c r="C94">
        <f t="shared" si="6"/>
        <v>46.244243860841785</v>
      </c>
      <c r="D94">
        <f t="shared" si="7"/>
        <v>1.9262831069394284</v>
      </c>
      <c r="F94">
        <f t="shared" si="8"/>
        <v>47.752208334564884</v>
      </c>
      <c r="G94">
        <f t="shared" si="9"/>
        <v>-1.4694631307312365</v>
      </c>
    </row>
    <row r="95" spans="1:7" x14ac:dyDescent="0.3">
      <c r="A95" s="2">
        <f t="shared" si="10"/>
        <v>0.9300000000000006</v>
      </c>
      <c r="B95" s="2">
        <f t="shared" si="11"/>
        <v>93</v>
      </c>
      <c r="C95">
        <f t="shared" si="6"/>
        <v>46.746898685416149</v>
      </c>
      <c r="D95">
        <f t="shared" si="7"/>
        <v>0.9203113817116364</v>
      </c>
      <c r="F95">
        <f t="shared" si="8"/>
        <v>48.254863159139255</v>
      </c>
      <c r="G95">
        <f t="shared" si="9"/>
        <v>-2.2620676311650816</v>
      </c>
    </row>
    <row r="96" spans="1:7" x14ac:dyDescent="0.3">
      <c r="A96" s="2">
        <f t="shared" si="10"/>
        <v>0.94000000000000061</v>
      </c>
      <c r="B96" s="2">
        <f t="shared" si="11"/>
        <v>94</v>
      </c>
      <c r="C96">
        <f t="shared" si="6"/>
        <v>47.24955350999052</v>
      </c>
      <c r="D96">
        <f t="shared" si="7"/>
        <v>-0.31333308391083359</v>
      </c>
      <c r="F96">
        <f t="shared" si="8"/>
        <v>48.757517983713619</v>
      </c>
      <c r="G96">
        <f t="shared" si="9"/>
        <v>-2.4950668210706746</v>
      </c>
    </row>
    <row r="97" spans="1:7" x14ac:dyDescent="0.3">
      <c r="A97" s="2">
        <f t="shared" si="10"/>
        <v>0.95000000000000062</v>
      </c>
      <c r="B97" s="2">
        <f t="shared" si="11"/>
        <v>95</v>
      </c>
      <c r="C97">
        <f t="shared" si="6"/>
        <v>47.752208334564884</v>
      </c>
      <c r="D97">
        <f t="shared" si="7"/>
        <v>-1.4694631307312365</v>
      </c>
      <c r="F97">
        <f t="shared" si="8"/>
        <v>49.26017280828799</v>
      </c>
      <c r="G97">
        <f t="shared" si="9"/>
        <v>-2.1108198137549947</v>
      </c>
    </row>
    <row r="98" spans="1:7" x14ac:dyDescent="0.3">
      <c r="A98" s="2">
        <f t="shared" si="10"/>
        <v>0.96000000000000063</v>
      </c>
      <c r="B98" s="2">
        <f t="shared" si="11"/>
        <v>96</v>
      </c>
      <c r="C98">
        <f t="shared" si="6"/>
        <v>48.254863159139255</v>
      </c>
      <c r="D98">
        <f t="shared" si="7"/>
        <v>-2.2620676311650816</v>
      </c>
      <c r="F98">
        <f t="shared" si="8"/>
        <v>49.762827632862354</v>
      </c>
      <c r="G98">
        <f t="shared" si="9"/>
        <v>-1.2043841852542239</v>
      </c>
    </row>
    <row r="99" spans="1:7" x14ac:dyDescent="0.3">
      <c r="A99" s="2">
        <f t="shared" si="10"/>
        <v>0.97000000000000064</v>
      </c>
      <c r="B99" s="2">
        <f t="shared" si="11"/>
        <v>97</v>
      </c>
      <c r="C99">
        <f t="shared" si="6"/>
        <v>48.757517983713619</v>
      </c>
      <c r="D99">
        <f t="shared" si="7"/>
        <v>-2.4950668210706746</v>
      </c>
      <c r="F99">
        <f t="shared" si="8"/>
        <v>50.265482457436725</v>
      </c>
      <c r="G99">
        <f t="shared" si="9"/>
        <v>8.3917248150378043E-14</v>
      </c>
    </row>
    <row r="100" spans="1:7" x14ac:dyDescent="0.3">
      <c r="A100" s="2">
        <f t="shared" si="10"/>
        <v>0.98000000000000065</v>
      </c>
      <c r="B100" s="2">
        <f t="shared" si="11"/>
        <v>98</v>
      </c>
      <c r="C100">
        <f t="shared" si="6"/>
        <v>49.26017280828799</v>
      </c>
      <c r="D100">
        <f t="shared" si="7"/>
        <v>-2.1108198137549947</v>
      </c>
      <c r="F100">
        <f t="shared" si="8"/>
        <v>50.768137282011089</v>
      </c>
      <c r="G100">
        <f t="shared" si="9"/>
        <v>1.2043841852543555</v>
      </c>
    </row>
    <row r="101" spans="1:7" x14ac:dyDescent="0.3">
      <c r="A101" s="2">
        <f t="shared" si="10"/>
        <v>0.99000000000000066</v>
      </c>
      <c r="B101" s="2">
        <f t="shared" si="11"/>
        <v>99</v>
      </c>
      <c r="C101">
        <f t="shared" si="6"/>
        <v>49.762827632862354</v>
      </c>
      <c r="D101">
        <f t="shared" si="7"/>
        <v>-1.2043841852542239</v>
      </c>
      <c r="F101">
        <f t="shared" si="8"/>
        <v>51.270792106585461</v>
      </c>
      <c r="G101">
        <f t="shared" si="9"/>
        <v>2.1108198137550844</v>
      </c>
    </row>
    <row r="102" spans="1:7" x14ac:dyDescent="0.3">
      <c r="A102" s="2">
        <f t="shared" si="10"/>
        <v>1.0000000000000007</v>
      </c>
      <c r="B102" s="2">
        <f t="shared" si="11"/>
        <v>100</v>
      </c>
      <c r="C102">
        <f t="shared" si="6"/>
        <v>50.265482457436725</v>
      </c>
      <c r="D102">
        <f t="shared" si="7"/>
        <v>8.3917248150378043E-14</v>
      </c>
      <c r="F102">
        <f t="shared" si="8"/>
        <v>51.773446931159825</v>
      </c>
      <c r="G102">
        <f t="shared" si="9"/>
        <v>2.4950668210706839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despDerecha</vt:lpstr>
      <vt:lpstr>despIzquierda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2025-11-10T16:53:25Z</dcterms:modified>
</cp:coreProperties>
</file>